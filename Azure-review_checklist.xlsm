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6924" codeName="{E757BCB4-07E6-AE0B-56E0-F0EEF7A6E26C}"/>
  <workbookPr codeName="ThisWorkbook" defaultThemeVersion="166925"/>
  <mc:AlternateContent xmlns:mc="http://schemas.openxmlformats.org/markup-compatibility/2006">
    <mc:Choice Requires="x15">
      <x15ac:absPath xmlns:x15ac="http://schemas.microsoft.com/office/spreadsheetml/2010/11/ac" url="https://configurationmanager-my.sharepoint.com/personal/anthony_anthonyonazure_com/Documents/Azure/"/>
    </mc:Choice>
  </mc:AlternateContent>
  <xr:revisionPtr revIDLastSave="586" documentId="8_{899E3402-5BDE-46F6-8831-0DD9A20C386E}" xr6:coauthVersionLast="47" xr6:coauthVersionMax="47" xr10:uidLastSave="{4ECB1971-8F25-4CD9-B285-0BCEB02B20CE}"/>
  <bookViews>
    <workbookView xWindow="15435" yWindow="0" windowWidth="7500" windowHeight="6000" tabRatio="320" activeTab="1" xr2:uid="{7C48A3BA-F709-465A-898F-4602D688CCF0}"/>
  </bookViews>
  <sheets>
    <sheet name="Dashboard" sheetId="7" r:id="rId1"/>
    <sheet name="Checklist" sheetId="5" r:id="rId2"/>
    <sheet name="Values" sheetId="6" r:id="rId3"/>
  </sheets>
  <functionGroups builtInGroupCount="19"/>
  <definedNames>
    <definedName name="_xlnm._FilterDatabase" localSheetId="1" hidden="1">Checklist!$A$9:$L$246</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G8" i="5" l="1"/>
  <c r="G7" i="5"/>
  <c r="N5" i="7"/>
  <c r="F5" i="7"/>
  <c r="H7" i="5"/>
  <c r="H8" i="5"/>
  <c r="D55" i="7" a="1"/>
  <c r="D55" i="7" s="1"/>
  <c r="D54" i="7" a="1"/>
  <c r="D54" i="7" s="1"/>
  <c r="D53" i="7" a="1"/>
  <c r="D53" i="7" s="1"/>
  <c r="D52" i="7" a="1"/>
  <c r="D52" i="7" s="1"/>
  <c r="D51" i="7" a="1"/>
  <c r="D51" i="7" s="1"/>
  <c r="C55" i="7" a="1"/>
  <c r="C55" i="7" s="1"/>
  <c r="C54" i="7" a="1"/>
  <c r="C54" i="7" s="1"/>
  <c r="C53" i="7" a="1"/>
  <c r="C53" i="7" s="1"/>
  <c r="C52" i="7" a="1"/>
  <c r="C52" i="7" s="1"/>
  <c r="C51" i="7" a="1"/>
  <c r="C51" i="7" s="1"/>
  <c r="B55" i="7" a="1"/>
  <c r="B55" i="7" s="1"/>
  <c r="B54" i="7" a="1"/>
  <c r="B54" i="7" s="1"/>
  <c r="B53" i="7" a="1"/>
  <c r="B53" i="7" s="1"/>
  <c r="B51" i="7" a="1"/>
  <c r="B51" i="7" s="1"/>
  <c r="B52" i="7" a="1"/>
  <c r="B52" i="7" s="1"/>
  <c r="H4" i="5"/>
  <c r="H6" i="5"/>
  <c r="H5" i="5"/>
  <c r="G6" i="5"/>
  <c r="G5" i="5"/>
  <c r="G4" i="5"/>
  <c r="P28" i="7"/>
  <c r="S28" i="7" s="1" a="1"/>
  <c r="S28" i="7" s="1"/>
  <c r="P27" i="7"/>
  <c r="S27" i="7" s="1" a="1"/>
  <c r="S27" i="7" s="1"/>
  <c r="P26" i="7"/>
  <c r="S26" i="7" s="1" a="1"/>
  <c r="S26" i="7" s="1"/>
  <c r="P25" i="7"/>
  <c r="S25" i="7" s="1" a="1"/>
  <c r="S25" i="7" s="1"/>
  <c r="P24" i="7"/>
  <c r="S24" i="7" s="1" a="1"/>
  <c r="S24" i="7" s="1"/>
  <c r="P23" i="7"/>
  <c r="S23" i="7" s="1" a="1"/>
  <c r="S23" i="7" s="1"/>
  <c r="P22" i="7"/>
  <c r="S22" i="7" s="1" a="1"/>
  <c r="S22" i="7" s="1"/>
  <c r="P21" i="7"/>
  <c r="S21" i="7" s="1" a="1"/>
  <c r="S21" i="7" s="1"/>
  <c r="I13" i="7"/>
  <c r="I12" i="7"/>
  <c r="N12" i="7" s="1" a="1"/>
  <c r="N12" i="7" s="1"/>
  <c r="I11" i="7"/>
  <c r="N11" i="7" s="1" a="1"/>
  <c r="N11" i="7" s="1"/>
  <c r="I10" i="7"/>
  <c r="N10" i="7" s="1" a="1"/>
  <c r="N10" i="7" s="1"/>
  <c r="I9" i="7"/>
  <c r="N9" i="7" s="1" a="1"/>
  <c r="N9" i="7" s="1"/>
  <c r="I8" i="7"/>
  <c r="N8" i="7" s="1" a="1"/>
  <c r="N8" i="7" s="1"/>
  <c r="I7" i="7"/>
  <c r="N7" i="7" s="1" a="1"/>
  <c r="N7" i="7" s="1"/>
  <c r="I6" i="7"/>
  <c r="N6" i="7" s="1" a="1"/>
  <c r="N6" i="7" s="1"/>
  <c r="N13" i="7" l="1" a="1"/>
  <c r="N13" i="7" s="1"/>
  <c r="N14" i="7" s="1"/>
  <c r="E54" i="7"/>
  <c r="R8" i="5" s="1"/>
  <c r="E55" i="7"/>
  <c r="S8" i="5" s="1"/>
  <c r="E52" i="7"/>
  <c r="P8" i="5" s="1"/>
  <c r="E53" i="7"/>
  <c r="Q8" i="5" s="1"/>
  <c r="E51" i="7"/>
  <c r="O8" i="5" s="1"/>
  <c r="R20" i="7" l="1"/>
  <c r="R28" i="7" s="1" a="1"/>
  <c r="R28" i="7" s="1"/>
  <c r="Q20" i="7"/>
  <c r="Q28" i="7" s="1" a="1"/>
  <c r="Q28" i="7" s="1"/>
  <c r="M5" i="7"/>
  <c r="M13" i="7" s="1" a="1"/>
  <c r="M13" i="7" s="1"/>
  <c r="L5" i="7"/>
  <c r="L13" i="7" s="1" a="1"/>
  <c r="L13" i="7" s="1"/>
  <c r="K5" i="7"/>
  <c r="K13" i="7" s="1" a="1"/>
  <c r="K13" i="7" s="1"/>
  <c r="J5" i="7"/>
  <c r="J13" i="7" s="1" a="1"/>
  <c r="J13" i="7" s="1"/>
  <c r="E5" i="7"/>
  <c r="D5" i="7"/>
  <c r="C5" i="7"/>
  <c r="B5" i="7"/>
  <c r="A7" i="7"/>
  <c r="F7" i="7" s="1" a="1"/>
  <c r="F7" i="7" s="1"/>
  <c r="A8" i="7"/>
  <c r="F8" i="7" s="1" a="1"/>
  <c r="F8" i="7" s="1"/>
  <c r="A6" i="7"/>
  <c r="F6" i="7" s="1" a="1"/>
  <c r="F6" i="7" s="1"/>
  <c r="O13" i="7" l="1"/>
  <c r="J11" i="7" a="1"/>
  <c r="J11" i="7" s="1"/>
  <c r="F9" i="7"/>
  <c r="L9" i="7" a="1"/>
  <c r="L9" i="7" s="1"/>
  <c r="M12" i="7" a="1"/>
  <c r="M12" i="7" s="1"/>
  <c r="M10" i="7" a="1"/>
  <c r="M10" i="7" s="1"/>
  <c r="M6" i="7" a="1"/>
  <c r="M6" i="7" s="1"/>
  <c r="T28" i="7"/>
  <c r="U28" i="7" s="1"/>
  <c r="R21" i="7" a="1"/>
  <c r="R21" i="7" s="1"/>
  <c r="R27" i="7" a="1"/>
  <c r="R27" i="7" s="1"/>
  <c r="Q24" i="7" a="1"/>
  <c r="Q24" i="7" s="1"/>
  <c r="E8" i="7" a="1"/>
  <c r="E8" i="7" s="1"/>
  <c r="R23" i="7" a="1"/>
  <c r="R23" i="7" s="1"/>
  <c r="L8" i="7" a="1"/>
  <c r="L8" i="7" s="1"/>
  <c r="B6" i="7" a="1"/>
  <c r="B6" i="7" s="1"/>
  <c r="E7" i="7" a="1"/>
  <c r="E7" i="7" s="1"/>
  <c r="Q22" i="7" a="1"/>
  <c r="Q22" i="7" s="1"/>
  <c r="M7" i="7" a="1"/>
  <c r="M7" i="7" s="1"/>
  <c r="B7" i="7" a="1"/>
  <c r="B7" i="7" s="1"/>
  <c r="C6" i="7" a="1"/>
  <c r="C6" i="7" s="1"/>
  <c r="B8" i="7" a="1"/>
  <c r="B8" i="7" s="1"/>
  <c r="C8" i="7" a="1"/>
  <c r="C8" i="7" s="1"/>
  <c r="D8" i="7" a="1"/>
  <c r="D8" i="7" s="1"/>
  <c r="C7" i="7" a="1"/>
  <c r="C7" i="7" s="1"/>
  <c r="D7" i="7" a="1"/>
  <c r="D7" i="7" s="1"/>
  <c r="D6" i="7" a="1"/>
  <c r="D6" i="7" s="1"/>
  <c r="E6" i="7" a="1"/>
  <c r="E6" i="7" s="1"/>
  <c r="K12" i="7" a="1"/>
  <c r="K12" i="7" s="1"/>
  <c r="K7" i="7" a="1"/>
  <c r="K7" i="7" s="1"/>
  <c r="L12" i="7" a="1"/>
  <c r="L12" i="7" s="1"/>
  <c r="M9" i="7" a="1"/>
  <c r="M9" i="7" s="1"/>
  <c r="J9" i="7" a="1"/>
  <c r="J9" i="7" s="1"/>
  <c r="Q23" i="7" a="1"/>
  <c r="Q23" i="7" s="1"/>
  <c r="J8" i="7" a="1"/>
  <c r="J8" i="7" s="1"/>
  <c r="M8" i="7" a="1"/>
  <c r="M8" i="7" s="1"/>
  <c r="J12" i="7" a="1"/>
  <c r="J12" i="7" s="1"/>
  <c r="Q27" i="7" a="1"/>
  <c r="Q27" i="7" s="1"/>
  <c r="Q26" i="7" a="1"/>
  <c r="Q26" i="7" s="1"/>
  <c r="R26" i="7" a="1"/>
  <c r="R26" i="7" s="1"/>
  <c r="K11" i="7" a="1"/>
  <c r="K11" i="7" s="1"/>
  <c r="L11" i="7" a="1"/>
  <c r="L11" i="7" s="1"/>
  <c r="M11" i="7" a="1"/>
  <c r="M11" i="7" s="1"/>
  <c r="R25" i="7" a="1"/>
  <c r="R25" i="7" s="1"/>
  <c r="K10" i="7" a="1"/>
  <c r="K10" i="7" s="1"/>
  <c r="Q25" i="7" a="1"/>
  <c r="Q25" i="7" s="1"/>
  <c r="L10" i="7" a="1"/>
  <c r="L10" i="7" s="1"/>
  <c r="J10" i="7" a="1"/>
  <c r="J10" i="7" s="1"/>
  <c r="R24" i="7" a="1"/>
  <c r="R24" i="7" s="1"/>
  <c r="K9" i="7" a="1"/>
  <c r="K9" i="7" s="1"/>
  <c r="K8" i="7" a="1"/>
  <c r="K8" i="7" s="1"/>
  <c r="R22" i="7" a="1"/>
  <c r="R22" i="7" s="1"/>
  <c r="L7" i="7" a="1"/>
  <c r="L7" i="7" s="1"/>
  <c r="J7" i="7" a="1"/>
  <c r="J7" i="7" s="1"/>
  <c r="K6" i="7" a="1"/>
  <c r="K6" i="7" s="1"/>
  <c r="Q21" i="7" a="1"/>
  <c r="Q21" i="7" s="1"/>
  <c r="J6" i="7" a="1"/>
  <c r="J6" i="7" s="1"/>
  <c r="L6" i="7" a="1"/>
  <c r="L6" i="7" s="1"/>
  <c r="O12" i="7" l="1"/>
  <c r="O11" i="7"/>
  <c r="O6" i="7"/>
  <c r="O9" i="7"/>
  <c r="O10" i="7"/>
  <c r="O7" i="7"/>
  <c r="O8" i="7"/>
  <c r="G7" i="7"/>
  <c r="G6" i="7"/>
  <c r="G8" i="7"/>
  <c r="Q29" i="7"/>
  <c r="S29" i="7"/>
  <c r="M14" i="7"/>
  <c r="R29" i="7"/>
  <c r="J14" i="7"/>
  <c r="L14" i="7"/>
  <c r="K14" i="7"/>
  <c r="E9" i="7"/>
  <c r="B9" i="7"/>
  <c r="C9" i="7"/>
  <c r="D9" i="7"/>
  <c r="T24" i="7"/>
  <c r="U24" i="7" s="1"/>
  <c r="T23" i="7"/>
  <c r="U23" i="7" s="1"/>
  <c r="T27" i="7"/>
  <c r="U27" i="7" s="1"/>
  <c r="T22" i="7"/>
  <c r="U22" i="7" s="1"/>
  <c r="T25" i="7"/>
  <c r="U25" i="7" s="1"/>
  <c r="T21" i="7"/>
  <c r="U21" i="7" s="1"/>
  <c r="T26" i="7"/>
  <c r="U26" i="7" s="1"/>
  <c r="T29" i="7" l="1"/>
  <c r="D2" i="7" s="1"/>
  <c r="O14" i="7"/>
  <c r="G9" i="7"/>
  <c r="E2" i="7" l="1"/>
  <c r="U29" i="7"/>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<sst xmlns="http://schemas.openxmlformats.org/spreadsheetml/2006/main" count="2207" uniqueCount="827">
  <si>
    <t>Sub Area</t>
  </si>
  <si>
    <t>Severity</t>
  </si>
  <si>
    <t>Status</t>
  </si>
  <si>
    <t>Comment</t>
  </si>
  <si>
    <t>High</t>
  </si>
  <si>
    <t>Not verified</t>
  </si>
  <si>
    <t>Low</t>
  </si>
  <si>
    <t>Medium</t>
  </si>
  <si>
    <t>Open</t>
  </si>
  <si>
    <t>Fulfilled</t>
  </si>
  <si>
    <t>N/A</t>
  </si>
  <si>
    <t>More info</t>
  </si>
  <si>
    <t>Review Status</t>
  </si>
  <si>
    <t>Category</t>
  </si>
  <si>
    <t>Total</t>
  </si>
  <si>
    <t>Progress</t>
  </si>
  <si>
    <t>Closed</t>
  </si>
  <si>
    <t>Training</t>
  </si>
  <si>
    <t>Reference checklist base URL</t>
  </si>
  <si>
    <t>GUID</t>
  </si>
  <si>
    <t>https://raw.githubusercontent.com/Azure/review-checklists/main/checklists/</t>
  </si>
  <si>
    <t>Reviewed Items</t>
  </si>
  <si>
    <t>Open Items</t>
  </si>
  <si>
    <t>Default title</t>
  </si>
  <si>
    <t>Checklist item</t>
  </si>
  <si>
    <t>Description (optional)</t>
  </si>
  <si>
    <t>Technologies</t>
  </si>
  <si>
    <t>Languages</t>
  </si>
  <si>
    <t>AKS</t>
  </si>
  <si>
    <t>AVD</t>
  </si>
  <si>
    <t>Security</t>
  </si>
  <si>
    <t>English</t>
  </si>
  <si>
    <t>Japanese</t>
  </si>
  <si>
    <t>Korean</t>
  </si>
  <si>
    <t>Brazilian Portuguese</t>
  </si>
  <si>
    <t>Spanish</t>
  </si>
  <si>
    <t>Use the "Import latest checklist" button to get the latest version of a review checklist</t>
  </si>
  <si>
    <r>
      <rPr>
        <sz val="10"/>
        <color theme="1"/>
        <rFont val="Wingdings"/>
        <charset val="2"/>
      </rPr>
      <t>ç</t>
    </r>
    <r>
      <rPr>
        <sz val="10"/>
        <color theme="1"/>
        <rFont val="Segoe UI"/>
        <family val="2"/>
      </rPr>
      <t xml:space="preserve">
Select a technology
and a language
</t>
    </r>
    <r>
      <rPr>
        <sz val="10"/>
        <color theme="1"/>
        <rFont val="Wingdings"/>
        <charset val="2"/>
      </rPr>
      <t>ç</t>
    </r>
  </si>
  <si>
    <t>Status descriptions</t>
  </si>
  <si>
    <t>This check has not been looked at yet</t>
  </si>
  <si>
    <t>There is an action item associated to this check</t>
  </si>
  <si>
    <t>Not applicable for current design</t>
  </si>
  <si>
    <t>This check has been verified, and there are no further action items associated to it</t>
  </si>
  <si>
    <t>Multitenancy</t>
  </si>
  <si>
    <t>Technology file prefix</t>
  </si>
  <si>
    <t>aks</t>
  </si>
  <si>
    <t>avd</t>
  </si>
  <si>
    <t>avs</t>
  </si>
  <si>
    <t>security</t>
  </si>
  <si>
    <t>Language file suffix</t>
  </si>
  <si>
    <t>en</t>
  </si>
  <si>
    <t>ja</t>
  </si>
  <si>
    <t>ko</t>
  </si>
  <si>
    <t>pt</t>
  </si>
  <si>
    <t>es</t>
  </si>
  <si>
    <t>multitenancy</t>
  </si>
  <si>
    <t>Cost</t>
  </si>
  <si>
    <t>Scale</t>
  </si>
  <si>
    <t>Secure</t>
  </si>
  <si>
    <t>Simple</t>
  </si>
  <si>
    <t>HA</t>
  </si>
  <si>
    <t>Cost-efficient</t>
  </si>
  <si>
    <t>Highly available</t>
  </si>
  <si>
    <t>Scalable</t>
  </si>
  <si>
    <t>Not required</t>
  </si>
  <si>
    <t>Min (F/NR/O)</t>
  </si>
  <si>
    <t>Max (F/NR/O)</t>
  </si>
  <si>
    <t>F+O</t>
  </si>
  <si>
    <t>Max score only Fulfilled/NotRequired/Open</t>
  </si>
  <si>
    <t>Graph Query</t>
  </si>
  <si>
    <t>Recommendation understood, but not needed by current requirements</t>
  </si>
  <si>
    <t>SAP</t>
  </si>
  <si>
    <t>sap</t>
  </si>
  <si>
    <t>App Services Security</t>
  </si>
  <si>
    <t>appsvc_security</t>
  </si>
  <si>
    <t>apim</t>
  </si>
  <si>
    <t>sqldb_security</t>
  </si>
  <si>
    <t>Azure SQL DB Security</t>
  </si>
  <si>
    <t>Blob Storage Security</t>
  </si>
  <si>
    <t>blob_storage_security</t>
  </si>
  <si>
    <t>ACR Security</t>
  </si>
  <si>
    <t>acr_security</t>
  </si>
  <si>
    <t>Events Hub Security</t>
  </si>
  <si>
    <t>Service Bus Security</t>
  </si>
  <si>
    <t>eh_security</t>
  </si>
  <si>
    <t>asb_security</t>
  </si>
  <si>
    <t>API Management</t>
  </si>
  <si>
    <t>Last modified:</t>
  </si>
  <si>
    <t>WAF Pillar</t>
  </si>
  <si>
    <t>Operations</t>
  </si>
  <si>
    <t>WAF Pillars</t>
  </si>
  <si>
    <t>Reliability</t>
  </si>
  <si>
    <t>Performance</t>
  </si>
  <si>
    <t>Azure Arc</t>
  </si>
  <si>
    <t>azure_arc</t>
  </si>
  <si>
    <t>ALZ</t>
  </si>
  <si>
    <t>Azure Review Checklist</t>
  </si>
  <si>
    <t>alz</t>
  </si>
  <si>
    <t>Design Area</t>
  </si>
  <si>
    <t>Version</t>
  </si>
  <si>
    <t>ID</t>
  </si>
  <si>
    <t>1.3.2</t>
  </si>
  <si>
    <t>AMMP</t>
  </si>
  <si>
    <t>YesNo</t>
  </si>
  <si>
    <t>Yes</t>
  </si>
  <si>
    <t>No</t>
  </si>
  <si>
    <t>ARO</t>
  </si>
  <si>
    <t>aro</t>
  </si>
  <si>
    <t>Cost Optimization</t>
  </si>
  <si>
    <t>cost</t>
  </si>
  <si>
    <t>avs_implementation</t>
  </si>
  <si>
    <t>AVS Implementation</t>
  </si>
  <si>
    <t>AVS Design</t>
  </si>
  <si>
    <t>Network App Delivery</t>
  </si>
  <si>
    <t>network_appdelivery</t>
  </si>
  <si>
    <t>Spring Apps</t>
  </si>
  <si>
    <t>azurespringapps</t>
  </si>
  <si>
    <t>Azure Landing Zone Review</t>
  </si>
  <si>
    <t>GA</t>
  </si>
  <si>
    <t>A01.01</t>
  </si>
  <si>
    <t>Azure Billing and Microsoft Entra ID Tenants</t>
  </si>
  <si>
    <t>Microsoft Entra ID Tenants</t>
  </si>
  <si>
    <t>Use one Entra tenant for managing your Azure resources, unless you have a clear regulatory or business requirement for multi-tenants.</t>
  </si>
  <si>
    <t>70c15989-c726-42c7-b0d3-24b7375b9201</t>
  </si>
  <si>
    <t>A01.02</t>
  </si>
  <si>
    <t>Ensure you have a Multi-Tenant Automation approach to managing your Microsoft Entra ID Tenants</t>
  </si>
  <si>
    <t>6309957b-821a-43d1-b9d9-7fcf1802b747</t>
  </si>
  <si>
    <t>A01.03</t>
  </si>
  <si>
    <t>Leverage Azure Lighthouse for Multi-Tenant Management</t>
  </si>
  <si>
    <t>78e11934-499a-45ed-8ef7-aae5578f0ecf</t>
  </si>
  <si>
    <t>A02.01</t>
  </si>
  <si>
    <t>Cloud Solution Provider</t>
  </si>
  <si>
    <t>Ensure that Azure Lighthouse is used for administering the tenant by partner</t>
  </si>
  <si>
    <t>5d82e6df-6f61-42f2-82e2-3132d293be3d</t>
  </si>
  <si>
    <t>A02.02</t>
  </si>
  <si>
    <t>Discuss support request and escalation process with CSP partner</t>
  </si>
  <si>
    <t>a24d0de3-d4b9-4dfb-8ddd-bbfaf123fa01</t>
  </si>
  <si>
    <t>A02.03</t>
  </si>
  <si>
    <t>Setup Cost Reporting and Views with Azure Cost Management</t>
  </si>
  <si>
    <t>32952499-58c8-4e6f-ada5-972e67893d55</t>
  </si>
  <si>
    <t>A03.01</t>
  </si>
  <si>
    <t>Enterprise Agreement</t>
  </si>
  <si>
    <t>Configure Notification Contacts to a group mailbox</t>
  </si>
  <si>
    <t>685cb4f2-ac9c-4b19-9167-993ed0b32415</t>
  </si>
  <si>
    <t>A03.02</t>
  </si>
  <si>
    <t>Use departments and accounts to map your organization's structure to your enrollment hierarchy which can help with separating billing.</t>
  </si>
  <si>
    <t>12cd499f-96e2-4e41-a243-231fb3245a1c</t>
  </si>
  <si>
    <t>A03.03</t>
  </si>
  <si>
    <t>Ensure that Accounts are configured to be of the type 'Work or School Account</t>
  </si>
  <si>
    <t>29213165-f066-46c4-81fc-4214cc19f3d0</t>
  </si>
  <si>
    <t>A03.04</t>
  </si>
  <si>
    <t>Enable both DA View Charges and AO View Charges on your EA Enrollments to allow users with the correct perms review Cost and Billing Data.</t>
  </si>
  <si>
    <t>ca0fe401-12ad-46fc-8a7e-86293866a9f6</t>
  </si>
  <si>
    <t>A03.05</t>
  </si>
  <si>
    <t>Make use of Enterprise Dev/Test Subscriptions to reduce costs for non-production workloads</t>
  </si>
  <si>
    <t>5cf9f485-2784-49b3-9824-75d9b8bdb57b</t>
  </si>
  <si>
    <t>A03.06</t>
  </si>
  <si>
    <t>Periodically audit the role assignments to review who has access to your Enterprise Agreement Enrollment</t>
  </si>
  <si>
    <t>2cf08656-13ea-4f7e-a53a-e2c956b1ff6c</t>
  </si>
  <si>
    <t>A04.01</t>
  </si>
  <si>
    <t>Microsoft Customer Agreement</t>
  </si>
  <si>
    <t>Configure Agreement billing account notification contact email</t>
  </si>
  <si>
    <t>6ad5c3dd-e5ea-4ff1-81a4-7886ff87845c</t>
  </si>
  <si>
    <t>A04.02</t>
  </si>
  <si>
    <t>Use Billing Profiles and Invoice sections to structure your agreements billing for effective cost management</t>
  </si>
  <si>
    <t>90e87802-602f-4dfb-acea-67c60689f1d7</t>
  </si>
  <si>
    <t>A04.03</t>
  </si>
  <si>
    <t>Make use of Azure Plan to reduce costs for non-production workloads</t>
  </si>
  <si>
    <t>e81a73f0-84c4-4641-b406-14db3b4d1f50</t>
  </si>
  <si>
    <t>A04.04</t>
  </si>
  <si>
    <t>Periodically audit the agreement billing RBAC role assignments to review who has access to your MCA billing account</t>
  </si>
  <si>
    <t>ae757485-92a4-482a-8bc9-eefe6f5b5ec3</t>
  </si>
  <si>
    <t>B01.01</t>
  </si>
  <si>
    <t>Identity and Access Management</t>
  </si>
  <si>
    <t>Microsoft Entra ID and Hybrid Identity</t>
  </si>
  <si>
    <t>Use managed identities instead of service principals for authentication to Azure services</t>
  </si>
  <si>
    <t>4348bf81-7573-4512-8f46-9061cc198fea</t>
  </si>
  <si>
    <t>B02.01</t>
  </si>
  <si>
    <t>Microsoft Entra ID</t>
  </si>
  <si>
    <t>When deploying an AD Connect VM, consider having a staging sever for high availability / Disaster recovery</t>
  </si>
  <si>
    <t>cd163e39-84a5-4b39-97b7-6973abd70d94</t>
  </si>
  <si>
    <t>B03.01</t>
  </si>
  <si>
    <t>Identity</t>
  </si>
  <si>
    <t>Implement an emergency access or break-glass accounts to prevent tenant-wide account lockout</t>
  </si>
  <si>
    <t>984a859c-773e-47d2-9162-3a765a917e1f</t>
  </si>
  <si>
    <t>B03.02</t>
  </si>
  <si>
    <t>Integrate Microsoft Entra ID logs with the platform-central Azure Monitor. Azure Monitor allows for a single source of truth around log and monitoring data in Azure, giving organizations a cloud native options to meet requirements around log collection and retention.</t>
  </si>
  <si>
    <t>1cf0b8da-70bd-44d0-94af-8d99cfc89ae1</t>
  </si>
  <si>
    <t>B03.03</t>
  </si>
  <si>
    <t>Enforce a RBAC model that aligns to your cloud operating model. Scope and Assign across Management Groups and Subscriptions.</t>
  </si>
  <si>
    <t>348ef254-c27d-442e-abba-c7571559ab91</t>
  </si>
  <si>
    <t>B03.04</t>
  </si>
  <si>
    <t>Enforce Microsoft Entra ID conditional-access policies for any user with rights to Azure environments</t>
  </si>
  <si>
    <t>53e8908a-e28c-484c-93b6-b7808b9fe5c4</t>
  </si>
  <si>
    <t>B03.05</t>
  </si>
  <si>
    <t>Enforce multi-factor authentication for any user with rights to the Azure environments</t>
  </si>
  <si>
    <t>1049d403-a923-4c34-94d0-0018ac6a9e01</t>
  </si>
  <si>
    <t>B03.06</t>
  </si>
  <si>
    <t>Enforce centralized and delegated responsibilities to manage resources deployed inside the landing zone, based on role and security requirements</t>
  </si>
  <si>
    <t>e6a83de5-de32-4c19-a248-1607d5d1e4e6</t>
  </si>
  <si>
    <t>B03.07</t>
  </si>
  <si>
    <t>Enforce Microsoft Entra ID Privileged Identity Management (PIM) to establish zero standing access and least privilege</t>
  </si>
  <si>
    <t>14658d35-58fd-4772-99b8-21112df27ee4</t>
  </si>
  <si>
    <t>B03.08</t>
  </si>
  <si>
    <t>Only use the authentication type Work or school account for all account types. Avoid using the Microsoft account</t>
  </si>
  <si>
    <t>12e7f983-f630-4472-8dd6-9c5b5c2622f5</t>
  </si>
  <si>
    <t>B03.09</t>
  </si>
  <si>
    <t>Only use groups to assign permissions. Add on-premises groups to the Azure-AD-only group if a group management system is already in place.</t>
  </si>
  <si>
    <t>4b69bad3-3aad-45e8-a68e-1d76667313b4</t>
  </si>
  <si>
    <t>B03.10</t>
  </si>
  <si>
    <t>Consider using Azure custom roles for the following key roles: Azure platform owner, network management, security operations, subscription owner, application owner</t>
  </si>
  <si>
    <t>f5664b5e-984a-4859-a773-e7d261623a76</t>
  </si>
  <si>
    <t>B03.11</t>
  </si>
  <si>
    <t>If Azure Active Directory Domains Services (AADDS) is in use, deploy AADDS within the primary region because this service can only be projected into one subscription</t>
  </si>
  <si>
    <t>1559ab91-53e8-4908-ae28-c84c33b6b780</t>
  </si>
  <si>
    <t>B03.12</t>
  </si>
  <si>
    <t>If AADDS in use, evaluate the compatibility of all workloads</t>
  </si>
  <si>
    <t>8b9fe5c4-1049-4d40-9a92-3c3474d00018</t>
  </si>
  <si>
    <t>B03.13</t>
  </si>
  <si>
    <t>If AD on Windows server in use, are the resources in Azure using the correct domain controller?</t>
  </si>
  <si>
    <t>ac6a9e01-e6a8-43de-9de3-2c1992481607</t>
  </si>
  <si>
    <t>B03.14</t>
  </si>
  <si>
    <t>Consider using Microsoft Entra ID Application Proxy as a VPN or reverse proxy replacement to give remote users secure and authenticated access to internal applications (hosted in the cloud or on-premises).</t>
  </si>
  <si>
    <t>d5d1e4e6-1465-48d3-958f-d77249b82111</t>
  </si>
  <si>
    <t>B03.15</t>
  </si>
  <si>
    <t>Avoid using on-premises synced accounts for Microsoft Entra ID role assignments.</t>
  </si>
  <si>
    <t>35037e68-9349-4c15-b371-228514f4cdff</t>
  </si>
  <si>
    <t>B04.01</t>
  </si>
  <si>
    <t>Landing zones</t>
  </si>
  <si>
    <t>Configure Identity (ADDS) network segmentation through the use of a virtual Network and peer back to the hub. Providing authentication inside application landing zone (legacy).</t>
  </si>
  <si>
    <t>9cf5418b-1520-4b7b-add7-88eb28f833e8</t>
  </si>
  <si>
    <t>B04.02</t>
  </si>
  <si>
    <t xml:space="preserve">Use Azure RBAC to manage data plane access to resources, if possible. E.G - Data Operations across Key Vault, Storage Account and Database Services. </t>
  </si>
  <si>
    <t>d4d1ad54-1abc-4919-b267-3f342d3b49e4</t>
  </si>
  <si>
    <t>B04.03</t>
  </si>
  <si>
    <t>Use Microsoft Entra ID PIM access reviews to periodically validate resource entitlements.</t>
  </si>
  <si>
    <t>d505ebcb-79b1-4274-9c0d-a27c8bea489c</t>
  </si>
  <si>
    <t>C01.01</t>
  </si>
  <si>
    <t>Resource Organization</t>
  </si>
  <si>
    <t>Naming and tagging</t>
  </si>
  <si>
    <t>It is recommended to follow Microsoft Best Practice Naming Standards</t>
  </si>
  <si>
    <t>cacf55bc-e4e4-46be-96bc-57a5f23a269a</t>
  </si>
  <si>
    <t>C02.01</t>
  </si>
  <si>
    <t>Subscriptions</t>
  </si>
  <si>
    <t>Enforce reasonably flat management group hierarchy with no more than four levels.</t>
  </si>
  <si>
    <t>resourcecontainers| where type == 'microsoft.resources/subscriptions'| extend ManagementGroup = tostring(tags),mgmtChain = properties.managementGroupAncestorsChain| extend compliant =( array_length(mgmtChain) &lt;= 4 and array_length(mgmtChain) &gt; 1)</t>
  </si>
  <si>
    <t>2df27ee4-12e7-4f98-9f63-04722dd69c5b</t>
  </si>
  <si>
    <t>C02.02</t>
  </si>
  <si>
    <t>Enforce a sandbox management group to allow users to immediately experiment with Azure</t>
  </si>
  <si>
    <t>667313b4-f566-44b5-b984-a859c773e7d2</t>
  </si>
  <si>
    <t>C02.03</t>
  </si>
  <si>
    <t>Enforce a platform management group under the root management group to support common platform policy and Azure role assignment</t>
  </si>
  <si>
    <t>61623a76-5a91-47e1-b348-ef254c27d42e</t>
  </si>
  <si>
    <t>C02.04</t>
  </si>
  <si>
    <t>Enforce a dedicated connectivity subscription in the Connectivity management group to host an Azure Virtual WAN hub, private Domain Name System (DNS), ExpressRoute circuit, and other networking resources.</t>
  </si>
  <si>
    <t>8bbac757-1559-4ab9-853e-8908ae28c84c</t>
  </si>
  <si>
    <t>C02.05</t>
  </si>
  <si>
    <t>Enforce no subscriptions are placed under the root management group</t>
  </si>
  <si>
    <t>resourcecontainers| where type == 'microsoft.resources/subscriptions'| extend ManagementGroup = tostring(tags),mgmtChain = properties.managementGroupAncestorsChain| extend compliant = (array_length(mgmtChain) &gt; 1)</t>
  </si>
  <si>
    <t>33b6b780-8b9f-4e5c-9104-9d403a923c34</t>
  </si>
  <si>
    <t>C02.06</t>
  </si>
  <si>
    <t>Enforce that only privileged users can operate management groups in the tenant by enabling Azure RBAC authorization in the management group hierarchy settings</t>
  </si>
  <si>
    <t>74d00018-ac6a-49e0-8e6a-83de5de32c19</t>
  </si>
  <si>
    <t>C02.07</t>
  </si>
  <si>
    <t>Enforce management groups under the root-level management group to represent the types of workloads, based on their security, compliance, connectivity, and feature needs.</t>
  </si>
  <si>
    <t>92481607-d5d1-4e4e-9146-58d3558fd772</t>
  </si>
  <si>
    <t>C02.08</t>
  </si>
  <si>
    <t>Enforce a process to make resource owners aware of their roles and responsibilities, access review, budget review, policy compliance and remediate when necessary.</t>
  </si>
  <si>
    <t>49b82111-2df2-47ee-912e-7f983f630472</t>
  </si>
  <si>
    <t>C02.09</t>
  </si>
  <si>
    <t>Ensure that all subscription owners and IT core team are aware of subscription quotas and the impact they have on provision resources for a given subscription.</t>
  </si>
  <si>
    <t>2dd69c5b-5c26-422f-94b6-9bad33aad5e8</t>
  </si>
  <si>
    <t>C02.10</t>
  </si>
  <si>
    <t>Use Reserved Instances where appropriate to optimize cost and ensure available capacity in target regions. Enforce the use of purchased Reserved Instance VM SKUs via Azure Policy.</t>
  </si>
  <si>
    <t>c68e1d76-6673-413b-9f56-64b5e984a859</t>
  </si>
  <si>
    <t>C02.11</t>
  </si>
  <si>
    <t>Enforce a dashboard, workbook, or manual process to monitor used capacity levels</t>
  </si>
  <si>
    <t>c773e7d2-6162-43a7-95a9-17e1f348ef25</t>
  </si>
  <si>
    <t>C02.12</t>
  </si>
  <si>
    <t>Enforce a process for cost management</t>
  </si>
  <si>
    <t>ae28c84c-33b6-4b78-88b9-fe5c41049d40</t>
  </si>
  <si>
    <t>C02.13</t>
  </si>
  <si>
    <t>If AD on Windows Server, establish a dedicated identity subscription in the Indentity management group, to host Windows Server Active Directory domain controllers</t>
  </si>
  <si>
    <t>3a923c34-74d0-4001-aac6-a9e01e6a83de</t>
  </si>
  <si>
    <t>C02.14</t>
  </si>
  <si>
    <t>Ensure tags are used for billing and cost management</t>
  </si>
  <si>
    <t>resources | extend compliant = isnotnull(['tags']) | project name, id, subscriptionId, resourceGroup, tags, compliant</t>
  </si>
  <si>
    <t>5de32c19-9248-4160-9d5d-1e4e614658d3</t>
  </si>
  <si>
    <t>C03.01</t>
  </si>
  <si>
    <t>Regions</t>
  </si>
  <si>
    <t>Select the right Azure region/s for your deployment. Azure is a global-scale cloud platform that provide global coverage through many regions and geographies. Different Azure regions have different characteristics, access and availability models, costs, capacity, and services offered, then it is important to consider all criteria and requirements</t>
  </si>
  <si>
    <t>250d81ce-8bbe-4f85-9051-6a18a8221e50</t>
  </si>
  <si>
    <t>C03.02</t>
  </si>
  <si>
    <t>Consider a multi-region deployment. Depending on customer size, locations, and users presence, operating in multiple regions can be a common choice to deliver services and run applications closer to them. Using a multi-region deployment is also important to provide geo disaster recovery capabilities, to eliminate the dependency from a single region capacity and diminish the risk of a temporary and localized resource capacity constraint</t>
  </si>
  <si>
    <t>19ca3f89-397d-44b1-b5b6-5e18661372ac</t>
  </si>
  <si>
    <t>C03.03</t>
  </si>
  <si>
    <t>Ensure required services and features are available within the chosen deployment regions</t>
  </si>
  <si>
    <t>4c27d42e-8bba-4c75-9155-9ab9153e8908</t>
  </si>
  <si>
    <t>D01.01</t>
  </si>
  <si>
    <t>Network Topology and Connectivity</t>
  </si>
  <si>
    <t>App delivery</t>
  </si>
  <si>
    <t>Develop a plan for securing the delivery application content from your Workload spokes using Application Gateway and Azure Front door.  You can use the Application Delivery checklist to for recommendations.</t>
  </si>
  <si>
    <t>373f482f-3e39-4d39-8aa4-7e566f6082b6</t>
  </si>
  <si>
    <t>D01.02</t>
  </si>
  <si>
    <t>Perform app delivery within landing zones for both internal-facing (corp) and external-facing apps (online).</t>
  </si>
  <si>
    <t>6138a720-0f1c-4e16-bd30-1d6e872e52e3</t>
  </si>
  <si>
    <t>D01.03</t>
  </si>
  <si>
    <t>Use a DDoS Network or IP protection plans for all Public IP addresses in application landing zones.</t>
  </si>
  <si>
    <t>143b16c3-1d7a-4a9b-9470-4489a8042d88</t>
  </si>
  <si>
    <t>D02.01</t>
  </si>
  <si>
    <t>Encryption</t>
  </si>
  <si>
    <t>When you're using ExpressRoute Direct, configure MACsec in order to encrypt traffic at the layer-two level between the organization's routers and MSEE. The diagram shows this encryption in flow.</t>
  </si>
  <si>
    <t>de0d5973-cd4c-4d21-a088-137f5e6c4cfd</t>
  </si>
  <si>
    <t>D02.02</t>
  </si>
  <si>
    <t xml:space="preserve">For scenarios where MACsec isn't an option (for example, not using ExpressRoute Direct), use a VPN gateway to establish IPsec tunnels over ExpressRoute private peering. </t>
  </si>
  <si>
    <t>ed301d6e-872e-452e-9611-cc58b5a4b151</t>
  </si>
  <si>
    <t>D03.01</t>
  </si>
  <si>
    <t>Hub and spoke</t>
  </si>
  <si>
    <t>Consider a network design based on the traditional hub-and-spoke network topology for network scenarios that require maximum flexibility.</t>
  </si>
  <si>
    <t>e8bbac75-7155-49ab-a153-e8908ae28c84</t>
  </si>
  <si>
    <t>D03.02</t>
  </si>
  <si>
    <t>Ensure that shared networking services, including ExpressRoute gateways, VPN gateways, and Azure Firewall or partner NVAs in the central-hub virtual network. If necessary, also deploy DNS servers.</t>
  </si>
  <si>
    <t>7dd61623-a364-4a90-9eca-e48ebd54cd7d</t>
  </si>
  <si>
    <t>D03.03</t>
  </si>
  <si>
    <t>When deploying partner networking technologies or NVAs, follow the partner vendor's guidance</t>
  </si>
  <si>
    <t>e2e8abac-3571-4559-ab91-53e89f89dc7b</t>
  </si>
  <si>
    <t>D03.04</t>
  </si>
  <si>
    <t>If you need transit between ExpressRoute and VPN gateways in hub and spoke scenarios, use Azure Route Server.</t>
  </si>
  <si>
    <t>ce463dbb-bc8a-4c2a-aebc-92a43da1dae2</t>
  </si>
  <si>
    <t>D03.05</t>
  </si>
  <si>
    <t>If using Route Server, use a /27 prefix for the Route Server subnet.</t>
  </si>
  <si>
    <t>resources | where type=='microsoft.network/virtualnetworks' | project id,subnets=properties.subnets | mv-expand subnets | project id, subnetName = subnets.name, subnetPrefix = subnets.properties.addressPrefix | extend subnetPrefixLength = split(subnetPrefix, '/')[1] | where subnetName == 'RouteServerSubnet' | extend compliant = (subnetPrefixLength &lt;= 27) | distinct id, compliant</t>
  </si>
  <si>
    <t>91b9d7d5-91e1-4dcb-8f1f-fa7e465646cc</t>
  </si>
  <si>
    <t>D03.06</t>
  </si>
  <si>
    <t xml:space="preserve">For network architectures with multiple hub-and-spoke topologies across Azure regions, use global virtual network peerings between the hub VNets to connect the regions to each other. </t>
  </si>
  <si>
    <t>cc881471-607c-41cc-a0e6-14658dd558f9</t>
  </si>
  <si>
    <t>D03.07</t>
  </si>
  <si>
    <t>Use Azure Monitor for Networks to monitor the end-to-end state of the networks on Azure.</t>
  </si>
  <si>
    <t>4722d929-c1b1-4cd6-81f5-4b29bade39ad</t>
  </si>
  <si>
    <t>D03.08</t>
  </si>
  <si>
    <t>When connecting spoke virtual networks to the central hub virtual network, consider VNet peering limits (500), the maximum number of prefixes that can be advertised via ExpressRoute (1000)</t>
  </si>
  <si>
    <t>resources | where type == 'microsoft.network/virtualnetworks' | mvexpand properties.virtualNetworkPeerings | summarize peeringcount = count() by id | extend compliant = (peeringcount &lt; 450) | distinct id,compliant</t>
  </si>
  <si>
    <t>0e7c28ec-9366-4572-83b0-f4664b1d944a</t>
  </si>
  <si>
    <t>D03.09</t>
  </si>
  <si>
    <t>Consider the limit of routes per route table (400).</t>
  </si>
  <si>
    <t>resources | where type=='microsoft.network/routetables' | mvexpand properties.routes | summarize routeCount = count() by id | extend compliant = (routeCount &lt; 360) | distinct id,compliant</t>
  </si>
  <si>
    <t>3d457936-e9b7-41eb-bdff-314b26450b12</t>
  </si>
  <si>
    <t>D03.10</t>
  </si>
  <si>
    <t>Use the setting 'Allow traffic to remote virtual network' when configuring VNet peerings</t>
  </si>
  <si>
    <t>resources | where type == 'microsoft.network/virtualnetworks' | mvexpand properties.virtualNetworkPeerings | project id, peeringName=properties_virtualNetworkPeerings.name, compliant = (properties_virtualNetworkPeerings.properties.allowVirtualNetworkAccess == True)</t>
  </si>
  <si>
    <t>c76cb5a2-abe2-11ed-afa1-0242ac120002</t>
  </si>
  <si>
    <t>D04.01</t>
  </si>
  <si>
    <t>Hybrid</t>
  </si>
  <si>
    <t>Ensure that you have investigated the possibility to use ExpressRoute as primary connection to Azure.</t>
  </si>
  <si>
    <t>359c373e-7dd6-4162-9a36-4a907ecae48e</t>
  </si>
  <si>
    <t>D04.02</t>
  </si>
  <si>
    <t>When you use multiple ExpressRoute circuits, or multiple on-prem locations, make sure to optimize routing with BGP attributes, if certain paths are preferred.</t>
  </si>
  <si>
    <t>You can use AS-path prepending and connection weights to influence traffic from Azure to on-premises, and the full range of BGP attributes in your own routers to influence traffic from on-premises to Azure.</t>
  </si>
  <si>
    <t>f29812b2-363c-4efe-879b-599de0d5973c</t>
  </si>
  <si>
    <t>D04.03</t>
  </si>
  <si>
    <t>Ensure that you're using the right SKU for the ExpressRoute/VPN gateways based on bandwidth and performance requirements.</t>
  </si>
  <si>
    <t>resources| where type == 'microsoft.network/virtualnetworkgateways'| where properties.gatewayType =~ 'vpn' or properties.gatewayType == 'ExpressRoute'| extend SKUName = properties.sku.name, SKUTier = properties.sku.tier, Type = properties.gatewayType| extend compliant = SKUTier !in ('Basic', 'Standard')| project name, id, subscriptionId, resourceGroup, compliant</t>
  </si>
  <si>
    <t>d4cd21b0-8813-47f5-b6c4-cfd3e504547c</t>
  </si>
  <si>
    <t>D04.04</t>
  </si>
  <si>
    <t>Ensure that you're using unlimited-data ExpressRoute circuits only if you reach the bandwidth that justifies their cost.</t>
  </si>
  <si>
    <t>resources | where type=='microsoft.network/expressroutecircuits' | extend compliant = (tolower(sku.family) == 'metereddata' or tolower(sku.tier) == 'local') | distinct id,compliant</t>
  </si>
  <si>
    <t>7025b442-f6e9-4af6-b11f-c9574916016f</t>
  </si>
  <si>
    <t>D04.05</t>
  </si>
  <si>
    <t>Leverage the Local SKU of ExpressRoute to reduce the cost of your circuits, if your circuits' peering location supports your Azure regions for the Local SKU.</t>
  </si>
  <si>
    <t>resources | where type=='microsoft.network/connections' | where properties.connectionType == 'ExpressRoute' | project id, gwid=tostring(properties.virtualNetworkGateway1.id), circuitid=tostring(properties.peer.id) | join (resources | where type=='microsoft.network/expressroutecircuits' | project circuitid=tostring(id), circuitsku=sku.tier) on circuitid | project id=gwid, compliant = (circuitsku == 'Local') | summarize compliant=max(compliant) by id</t>
  </si>
  <si>
    <t>f4e7926a-ec35-476e-a412-5dd17136bd62</t>
  </si>
  <si>
    <t>D04.06</t>
  </si>
  <si>
    <t>Deploy a zone-redundant ExpressRoute gateway in the supported Azure regions.</t>
  </si>
  <si>
    <t>resources| where type == 'microsoft.network/virtualnetworkgateways'| where properties.gatewayType =~ 'vpn' or properties.gatewayType == 'ExpressRoute'| extend SKUName = properties.sku.name, SKUTier = properties.sku.tier, Type = properties.gatewayType| extend compliant = SKUTier contains 'AZ'| project name, id, subscriptionId, resourceGroup, Type, compliant</t>
  </si>
  <si>
    <t>2447ec66-138a-4720-8f1c-e16ed301d6e8</t>
  </si>
  <si>
    <t>D04.07</t>
  </si>
  <si>
    <t>For scenarios that require bandwidth higher than 10 Gbps or dedicated 10/100-Gbps ports, use ExpressRoute Direct.</t>
  </si>
  <si>
    <t>72e52e36-11cc-458b-9a4b-1511e43a58a9</t>
  </si>
  <si>
    <t>D04.08</t>
  </si>
  <si>
    <t>When low latency is required, or throughput from on-premises to Azure must be greater than 10 Gbps, enable FastPath to bypass the ExpressRoute gateway from the data path.</t>
  </si>
  <si>
    <t>c2299c4d-7b57-4d0c-9555-62f2b3e4563a</t>
  </si>
  <si>
    <t>D04.09</t>
  </si>
  <si>
    <t>Use VPN gateways to connect branches or remote locations to Azure. For higher resilience, deploy zone-redundant gateways (where available).</t>
  </si>
  <si>
    <t>resources | where type=='microsoft.network/virtualnetworkgateways' | where properties.gatewayType == 'Vpn' | extend compliant = (tolower(properties.sku.name) contains 'az') | distinct id, compliant</t>
  </si>
  <si>
    <t>4d873974-8b66-42d6-b15f-512a65498f6d</t>
  </si>
  <si>
    <t>D04.10</t>
  </si>
  <si>
    <t>If using ExpressRoute Direct, consider using ExpressRoute Local circuits to the local Azure regions to save costs</t>
  </si>
  <si>
    <t>718cb437-b060-2589-8856-2e93a5c6633b</t>
  </si>
  <si>
    <t>D04.11</t>
  </si>
  <si>
    <t>When traffic isolation or dedicated bandwidth is required, such as for separating production and nonproduction environments, use different ExpressRoute circuits. It will help you ensure isolated routing domains and alleviate noisy-neighbor risks.</t>
  </si>
  <si>
    <t>8042d88e-79d1-47b7-9b22-a5a67e7a8ed4</t>
  </si>
  <si>
    <t>D04.12</t>
  </si>
  <si>
    <t>Monitor ExpressRoute availability and utilization using built-in Express Route Insights.</t>
  </si>
  <si>
    <t>b30e38c3-f298-412b-8363-cefe179b599d</t>
  </si>
  <si>
    <t>D04.13</t>
  </si>
  <si>
    <t>Use Connection Monitor for connectivity monitoring across the environment.</t>
  </si>
  <si>
    <t>5bf68dc9-325e-4873-bf88-f8214ef2e5d2</t>
  </si>
  <si>
    <t>D04.14</t>
  </si>
  <si>
    <t>Use ExpressRoute circuits from different peering locations for redundancy.</t>
  </si>
  <si>
    <t>e0d5973c-d4cd-421b-8881-37f5e6c4cfd3</t>
  </si>
  <si>
    <t>D04.15</t>
  </si>
  <si>
    <t>If you are deploying at least two VMs running AD DS as domain controllers, add them to different Availability Zones. If not available in the region, deploy in an Availability Set.</t>
  </si>
  <si>
    <t>2df4930f-6a43-49a3-926b-309f02c302f0</t>
  </si>
  <si>
    <t>D05.01</t>
  </si>
  <si>
    <t>IP plan</t>
  </si>
  <si>
    <t>Ensure no overlapping IP address spaces across Azure regions and on-premises locations are used</t>
  </si>
  <si>
    <t>558fd772-49b8-4211-82df-27ee412e7f98</t>
  </si>
  <si>
    <t>D05.02</t>
  </si>
  <si>
    <t>Use IP addresses from the address allocation ranges for private internets (RFC 1918).</t>
  </si>
  <si>
    <t>resources | where type == 'microsoft.network/virtualnetworks' | extend addressSpace = todynamic(properties.addressSpace) | extend addressPrefix = todynamic(properties.addressSpace.addressPrefixes) | mvexpand addressSpace | mvexpand addressPrefix | project name, id, location, resourceGroup, subscriptionId, cidr = addressPrefix | extend compliant = (cidr matches regex @'^(10\\.|172\\.(1[6-9]|2[0-9]|3[01])\\.|192\\.168\\.)')  | project id, compliant, cidr</t>
  </si>
  <si>
    <t>3f630472-2dd6-49c5-a5c2-622f54b69bad</t>
  </si>
  <si>
    <t>D05.03</t>
  </si>
  <si>
    <t xml:space="preserve">Ensure that IP address space isn't wasted, don't create unnecessarily large virtual networks (for example /16) </t>
  </si>
  <si>
    <t>resources | where type == 'microsoft.network/virtualnetworks' | extend addressSpace = todynamic(properties.addressSpace) | extend addressPrefix = todynamic(properties.addressSpace.addressPrefixes) | mvexpand addressSpace | mvexpand addressPrefix | extend addressMask = split(addressPrefix,'/')[1] | extend compliant = addressMask &gt; 16 | project name, id, subscriptionId, resourceGroup, addressPrefix, compliant</t>
  </si>
  <si>
    <t>33aad5e8-c68e-41d7-9667-313b4f5664b5</t>
  </si>
  <si>
    <t>D05.04</t>
  </si>
  <si>
    <t>Avoid using overlapping IP address ranges for production and DR sites.</t>
  </si>
  <si>
    <t>f348ef25-4c27-4d42-b8bb-ac7571559ab9</t>
  </si>
  <si>
    <t>D05.05</t>
  </si>
  <si>
    <t>For environments where name resolution in Azure is all that's required, use Azure Private DNS for resolution with a delegated zone for name resolution (such as 'azure.contoso.com').</t>
  </si>
  <si>
    <t>153e8908-ae28-4c84-a33b-6b7808b9fe5c</t>
  </si>
  <si>
    <t>D05.06</t>
  </si>
  <si>
    <t>For environments where name resolution across Azure and on-premises is required, consider using Azure DNS Private Resolver.</t>
  </si>
  <si>
    <t>41049d40-3a92-43c3-974d-00018ac6a9e0</t>
  </si>
  <si>
    <t>D05.07</t>
  </si>
  <si>
    <t>Special workloads that require and deploy their own DNS (such as Red Hat OpenShift) should use their preferred DNS solution.</t>
  </si>
  <si>
    <t>1e6a83de-5de3-42c1-a924-81607d5d1e4e</t>
  </si>
  <si>
    <t>D05.08</t>
  </si>
  <si>
    <t>Enable auto-registration for Azure DNS to automatically manage the lifecycle of the DNS records for the virtual machines deployed within a virtual network.</t>
  </si>
  <si>
    <t>614658d3-558f-4d77-849b-821112df27ee</t>
  </si>
  <si>
    <t>D06.01</t>
  </si>
  <si>
    <t>Internet</t>
  </si>
  <si>
    <t>Consider using Azure Bastion to securely connect to your network.</t>
  </si>
  <si>
    <t>ee1ac551-c4d5-46cf-b035-d0a3c50d87ad</t>
  </si>
  <si>
    <t>D06.02</t>
  </si>
  <si>
    <t>Use Azure Bastion in a subnet /26 or larger.</t>
  </si>
  <si>
    <t>resources | where type=='microsoft.network/virtualnetworks' | project id,subnets=properties.subnets | mv-expand subnets | project id, subnetName = subnets.name, subnetPrefix = subnets.properties.addressPrefix | extend subnetPrefixLength = split(subnetPrefix, '/')[1] | where subnetName == 'AzureBastionSubnet' | extend compliant = (subnetPrefixLength &lt;= 26) | distinct id, compliant</t>
  </si>
  <si>
    <t>6eab9eb6-762b-485e-8ea8-15aa5dba0bd0</t>
  </si>
  <si>
    <t>D06.03</t>
  </si>
  <si>
    <t>Use Azure Firewall to govern Azure outbound traffic to the internet, non-HTTP/S inbound connections, and East/West traffic filtering (if the organization requires it)</t>
  </si>
  <si>
    <t>e6c4cfd3-e504-4547-a244-7ec66138a720</t>
  </si>
  <si>
    <t>D06.04</t>
  </si>
  <si>
    <t>Create a global Azure Firewall policy to govern security posture across the global network environment and assign it to all Azure Firewall instances. Allow for granular policies to meet requirements of specific regions by delegating incremental firewall policies to local security teams via Azure role-based access control.</t>
  </si>
  <si>
    <t>5a4b1511-e43a-458a-ac22-99c4d7b57d0c</t>
  </si>
  <si>
    <t>D06.05</t>
  </si>
  <si>
    <t>Configure supported partner SaaS security providers within Firewall Manager if the organization wants to use such solutions to help protect outbound connections.</t>
  </si>
  <si>
    <t>655562f2-b3e4-4563-a4d8-739748b662d6</t>
  </si>
  <si>
    <t>D06.06</t>
  </si>
  <si>
    <t>Use Azure Front Door and WAF policies to provide global protection across Azure regions for inbound HTTP/S connections to a landing zone.</t>
  </si>
  <si>
    <t>1d7aa9b6-4704-4489-a804-2d88e79d17b7</t>
  </si>
  <si>
    <t>D06.07</t>
  </si>
  <si>
    <t>When using Azure Front Door and Azure Application Gateway to help protect HTTP/S apps, use WAF policies in Azure Front Door. Lock down Azure Application Gateway to receive traffic only from Azure Front Door.</t>
  </si>
  <si>
    <t>3b22a5a6-7e7a-48ed-9b30-e38c3f29812b</t>
  </si>
  <si>
    <t>D06.08</t>
  </si>
  <si>
    <t>Deploy WAFs and other reverse proxies are required for inbound HTTP/S connections, deploy them within a landing-zone virtual network and together with the apps that they're protecting and exposing to the internet.</t>
  </si>
  <si>
    <t>2363cefe-179b-4599-be0d-5973cd4cd21b</t>
  </si>
  <si>
    <t>D06.09</t>
  </si>
  <si>
    <t>Use Azure DDoS Network or IP Protection plans to help protect Public IP Addresses endpoints within the virtual networks.</t>
  </si>
  <si>
    <t>088137f5-e6c4-4cfd-9e50-4547c2447ec6</t>
  </si>
  <si>
    <t>D06.10</t>
  </si>
  <si>
    <t>Use FQDN-based network rules and Azure Firewall with DNS proxy to filter egress traffic to the Internet over protocols not supported by application rules.</t>
  </si>
  <si>
    <t>resources | where type=='microsoft.network/firewallpolicies' | extend compliant = (properties.dnsSettings.enableProxy == true) | distinct id,compliant</t>
  </si>
  <si>
    <t>14d99880-2f88-47e8-a134-62a7d85c94af</t>
  </si>
  <si>
    <t>D06.11</t>
  </si>
  <si>
    <t>Use Azure Firewall Premium for additional security and protection.</t>
  </si>
  <si>
    <t>resources | where type=='microsoft.network/firewallpolicies' | extend compliant = (properties.sku.tier == 'Premium') | distinct id,compliant</t>
  </si>
  <si>
    <t>c10d51ef-f999-455d-bba0-5c90ece07447</t>
  </si>
  <si>
    <t>D06.12</t>
  </si>
  <si>
    <t>Configure Azure Firewall Threat Intelligence mode to Alert and Deny for additional protection.</t>
  </si>
  <si>
    <t>resources | where type=='microsoft.network/firewallpolicies' | extend compliant = (properties.threatIntelMode == 'Deny') | distinct id,compliant</t>
  </si>
  <si>
    <t>e9c8f584-6d5e-473b-8dc5-acc9fbaab4e3</t>
  </si>
  <si>
    <t>D06.13</t>
  </si>
  <si>
    <t>Configure Azure Firewall IDPS mode to Deny for additional protection.</t>
  </si>
  <si>
    <t>resources | where type=='microsoft.network/firewallpolicies' | extend compliant = (properties.intrusionDetection.mode == 'Deny') | project id, compliant</t>
  </si>
  <si>
    <t>b9d0dff5-bdd4-4cd8-88ed-5811610b2b2c</t>
  </si>
  <si>
    <t>D06.14</t>
  </si>
  <si>
    <t>For subnets in VNets not connected to Virtual WAN, attach a route table so that Internet traffic is redirected to Azure Firewall or a Network Virtual Appliance</t>
  </si>
  <si>
    <t>resources | where type=='microsoft.network/virtualnetworks' | project id,resourceGroup,name,subnets=properties.subnets | mv-expand subnets | project id,name,subnetId=tostring(subnets.id), subnetName=tostring(subnets.name),subnetRT=subnets.properties.routeTable.id | where not (subnetName in ('GatewaySubnet', 'AzureFirewallSubnet', 'RouteServerSubnet', 'AzureBastionSubnet')) | extend hasRT = isnotnull(subnetRT) | distinct id, hasRT, subnetId | join kind=fullouter (resources | where type == 'microsoft.network/virtualnetworks' | mvexpand properties.virtualNetworkPeerings | extend isVWAN=(tolower(split(properties_virtualNetworkPeerings.name, '_')[0]) == 'remotevnettohubpeering') | mv-expand properties.subnets | project id, isVWAN, name, subnetId=tostring(properties_subnets.id), subnetName=tostring(properties_subnets.name) | summarize PeeredToVWAN=max(isVWAN) by id, subnetId | project id, subnetId, isVWANpeer = (PeeredToVWAN == true)) on subnetId | project id=iff(isnotempty(id), id, id1), subnetId=iff(isnotempty(subnetId), subnetId, subnetId1), hasRT, isVWANpeer | extend compliant = (hasRT==true or isVWANpeer==true) | distinct id, subnetId, compliant</t>
  </si>
  <si>
    <t>a3784907-9836-4271-aafc-93535f8ec08b</t>
  </si>
  <si>
    <t>D06.15</t>
  </si>
  <si>
    <t>Assess and review network outbound traffic configuration and strategy before the upcoming breaking change. On September 30, 2025, default outbound access for new deployments will be retired and only explicit access configurations will be allowed</t>
  </si>
  <si>
    <t>b034c01e-110b-463a-b36e-e3346e57f225</t>
  </si>
  <si>
    <t>D07.01</t>
  </si>
  <si>
    <t>PaaS</t>
  </si>
  <si>
    <t>Ensure that control-plane communication for Azure PaaS services injected into a virtual network is not broken, for example with a 0.0.0.0/0 route or an NSG rule that blocks control plane traffic.</t>
  </si>
  <si>
    <t>d301d6e8-72e5-42e3-911c-c58b5a4b1511</t>
  </si>
  <si>
    <t>D07.02</t>
  </si>
  <si>
    <t>Use Private Link, where available, for shared Azure PaaS services.</t>
  </si>
  <si>
    <t>e43a58a9-c229-49c4-b7b5-7d0c655562f2</t>
  </si>
  <si>
    <t>D07.03</t>
  </si>
  <si>
    <t>Access Azure PaaS services from on-premises via private endpoints and ExpressRoute private peering. This method avoids transiting over the public internet.</t>
  </si>
  <si>
    <t>b3e4563a-4d87-4397-98b6-62d6d15f512a</t>
  </si>
  <si>
    <t>D07.04</t>
  </si>
  <si>
    <t>Don't enable virtual network service endpoints by default on all subnets.</t>
  </si>
  <si>
    <t>resources | where type =~ 'microsoft.network/virtualnetworks' | project id,resourceGroup,name,subnets = properties.subnets | mv-expand subnets | project id = subnets.id, resourceGroup, VNet = name, serviceEndpoints = subnets.properties.serviceEndpoints, compliant = (isnull(subnets.properties.serviceEndpoints) or array_length(subnets.properties.serviceEndpoints) == 0) | order by compliant asc</t>
  </si>
  <si>
    <t>4704489a-8042-4d88-b79d-17b73b22a5a6</t>
  </si>
  <si>
    <t>D07.05</t>
  </si>
  <si>
    <t>Filter egress traffic to Azure PaaS services using FQDNs instead of IP addresses in Azure Firewall or an NVA to prevent data exfiltration. If using Private Link you can block all FQDNs, otherwise allow only the required PaaS services.</t>
  </si>
  <si>
    <t>7e7a8ed4-b30e-438c-9f29-812b2363cefe</t>
  </si>
  <si>
    <t>D08.01</t>
  </si>
  <si>
    <t>Segmentation</t>
  </si>
  <si>
    <t>Use a /26 prefix for your Azure Firewall subnets.</t>
  </si>
  <si>
    <t>resources | where type=='microsoft.network/virtualnetworks' | project id,subnets=properties.subnets | mv-expand subnets | project id, subnetName = subnets.name, subnetPrefix = subnets.properties.addressPrefix | extend subnetPrefixLength = split(subnetPrefix, '/')[1] | where subnetName == 'AzureFirewallSubnet' | extend compliant = (subnetPrefixLength == 26) | distinct id, compliant</t>
  </si>
  <si>
    <t>22d6419e-b627-4d95-9e7d-019fa759387f</t>
  </si>
  <si>
    <t>D08.02</t>
  </si>
  <si>
    <t>Use at least a /27 prefix for your Gateway subnets</t>
  </si>
  <si>
    <t>resources | where type=='microsoft.network/virtualnetworks' | project id,subnets=properties.subnets | mv-expand subnets | project id, subnetName = subnets.name, subnetPrefix = subnets.properties.addressPrefix | extend subnetPrefixLength = split(subnetPrefix, '/')[1] | where subnetName == 'GatewaySubnet' | extend compliant = (subnetPrefixLength &lt;= 27) | distinct id, compliant</t>
  </si>
  <si>
    <t>f2aad7e3-bb03-4adc-8606-4123d342a917</t>
  </si>
  <si>
    <t>D08.03</t>
  </si>
  <si>
    <t>Don't rely on the NSG inbound default rules using the VirtualNetwork service tag to limit connectivity.</t>
  </si>
  <si>
    <t>resources | where type=='microsoft.network/networksecuritygroups' | mvexpand properties.securityRules | project id,name,ruleAction=properties_securityRules.properties.access,rulePriority=properties_securityRules.properties.priority,ruleDst=properties_securityRules.properties.destinationAddressPrefix,ruleSrc=properties_securityRules.properties.sourceAddressPrefix,ruleProt=properties_securityRules.properties.protocol,ruleDirection=properties_securityRules.properties.direction,rulePort=properties_securityRules.properties.destinationPortRange | summarize StarDenies=countif(ruleAction=='Deny' and ruleDst=='*' and ruleSrc=='*' and ruleProt=='*' and rulePort=='*') by id,tostring(ruleDirection) | where ruleDirection == 'Inbound' | project id,compliant=(StarDenies&gt;0) | union (resources | where type=='microsoft.network/networksecuritygroups' | where array_length(properties.securityRules)==0 | extend compliant=false | project id,compliant)</t>
  </si>
  <si>
    <t>11deb39d-8299-4e47-bbe0-0fb5a36318a8</t>
  </si>
  <si>
    <t>D08.04</t>
  </si>
  <si>
    <t xml:space="preserve">Delegate subnet creation to the landing zone owner. </t>
  </si>
  <si>
    <t>c2447ec6-6138-4a72-80f1-ce16ed301d6e</t>
  </si>
  <si>
    <t>D08.05</t>
  </si>
  <si>
    <t>Use NSGs to help protect traffic across subnets, as well as east/west traffic across the platform (traffic between landing zones).</t>
  </si>
  <si>
    <t>872e52e3-611c-4c58-a5a4-b1511e43a58a</t>
  </si>
  <si>
    <t>D08.06</t>
  </si>
  <si>
    <t>The application team should use application security groups at the subnet-level NSGs to help protect multi-tier VMs within the landing zone.</t>
  </si>
  <si>
    <t>Resources | where type=='microsoft.network/virtualnetworks' | project id,resourceGroup,name,subnets=properties.subnets | mv-expand subnets | project id,name,subnetName=subnets.name,subnetNsg=subnets.properties.networkSecurityGroup | where not (subnetName in ('GatewaySubnet', 'AzureFirewallSubnet', 'RouteServerSubnet', 'AzureBastionSubnet')) | extend compliant = isnotnull(subnetNsg)</t>
  </si>
  <si>
    <t>9c2299c4-d7b5-47d0-a655-562f2b3e4563</t>
  </si>
  <si>
    <t>D08.07</t>
  </si>
  <si>
    <t>Use NSGs and application security groups to micro-segment traffic within the landing zone and avoid using a central NVA to filter traffic flows.</t>
  </si>
  <si>
    <t>a4d87397-48b6-462d-9d15-f512a65498f6</t>
  </si>
  <si>
    <t>D08.08</t>
  </si>
  <si>
    <t>Enable NSG flow logs and feed them into Traffic Analytics to gain insights into internal and external traffic flows.</t>
  </si>
  <si>
    <t>dfe237de-143b-416c-91d7-aa9b64704489</t>
  </si>
  <si>
    <t>D09.01</t>
  </si>
  <si>
    <t>Virtual WAN</t>
  </si>
  <si>
    <t>Consider Virtual WAN for simplified Azure networking management, and make sure your scenario is explicitly described in the list of Virtual WAN routing designs</t>
  </si>
  <si>
    <t>412e7f98-3f63-4047-82dd-69c5b5c2622f</t>
  </si>
  <si>
    <t>D09.02</t>
  </si>
  <si>
    <t>Use a Virtual WAN hub per Azure region to connect multiple landing zones together across Azure regions via a common global Azure Virtual WAN.</t>
  </si>
  <si>
    <t>54b69bad-33aa-4d5e-ac68-e1d76667313b</t>
  </si>
  <si>
    <t>D09.03</t>
  </si>
  <si>
    <t>Follow the principle 'traffic in Azure stays in Azure' so that communication across resources in Azure occurs via the Microsoft backbone network</t>
  </si>
  <si>
    <t>8ac6a9e0-1e6a-483d-b5de-32c199248160</t>
  </si>
  <si>
    <t>D09.04</t>
  </si>
  <si>
    <t>For outbound Internet traffic protection and filtering, deploy Azure Firewall in secured hubs</t>
  </si>
  <si>
    <t>resources | where type=='microsoft.network/virtualhubs' | extend compliant = isnotnull(properties.azureFirewall.id) | project id, compliant</t>
  </si>
  <si>
    <t>7d5d1e4e-6146-458d-9558-fd77249b8211</t>
  </si>
  <si>
    <t>D09.05</t>
  </si>
  <si>
    <t>Ensure that the network architecture is within the Azure Virtual WAN limits.</t>
  </si>
  <si>
    <t>6667313b-4f56-464b-9e98-4a859c773e7d</t>
  </si>
  <si>
    <t>D09.06</t>
  </si>
  <si>
    <t>Use Azure Monitor Insights for Virtual WAN to monitor the end-to-end topology of the Virtual WAN, status, and key metrics.</t>
  </si>
  <si>
    <t>261623a7-65a9-417e-8f34-8ef254c27d42</t>
  </si>
  <si>
    <t>D09.07</t>
  </si>
  <si>
    <t>Make sure that your IaC deployments does not disable branch-to-branch traffic in Virtual WAN, unless these flows should be explicitly blocked.</t>
  </si>
  <si>
    <t>727c77e1-b9aa-4a37-a024-129d042422c1</t>
  </si>
  <si>
    <t>D09.08</t>
  </si>
  <si>
    <t>Use AS-Path as hub routing preference, since it is more flexible than ExpressRoute or VPN.</t>
  </si>
  <si>
    <t>d49ac006-6670-4bc9-9948-d3e0a3a94f4d</t>
  </si>
  <si>
    <t>D09.09</t>
  </si>
  <si>
    <t>Make sure that your IaC deployments are configuring label-based propagation in Virtual WAN, otherwise connectivity between virtual hubs will be impaired.</t>
  </si>
  <si>
    <t>2586b854-237e-47f1-84a1-d45d4cd2310d</t>
  </si>
  <si>
    <t>D09.10</t>
  </si>
  <si>
    <t>Assign enough IP space to virtual hubs, ideally a /23 prefix.</t>
  </si>
  <si>
    <t>9c75dfef-573c-461c-a698-68598595581a</t>
  </si>
  <si>
    <t>E01.01</t>
  </si>
  <si>
    <t>Governance</t>
  </si>
  <si>
    <t>Leverage Azure Policy strategically, define controls for your environment, using Policy Initiatives to group related policies.</t>
  </si>
  <si>
    <t>5c986cb2-9131-456a-8247-6e49f541acdc</t>
  </si>
  <si>
    <t>E01.02</t>
  </si>
  <si>
    <t>Identify required Azure tags and use the 'append' policy mode to enforce usage via Azure Policy.</t>
  </si>
  <si>
    <t>e979377b-cdb3-4751-ab2a-b13ada6e55d7</t>
  </si>
  <si>
    <t>E01.03</t>
  </si>
  <si>
    <t>Map regulatory and compliance requirements to Azure Policy definitions and Azure role assignments.</t>
  </si>
  <si>
    <t>d8a2adb1-17d6-4326-af62-5ca44e5695f2</t>
  </si>
  <si>
    <t>E01.04</t>
  </si>
  <si>
    <t>Establish Azure Policy definitions at the intermediate root management group so that they can be assigned at inherited scopes</t>
  </si>
  <si>
    <t>223ace8c-b123-408c-a501-7f154e3ab369</t>
  </si>
  <si>
    <t>E01.05</t>
  </si>
  <si>
    <t>Manage policy assignments at the highest appropriate level with exclusions at bottom levels, if required.</t>
  </si>
  <si>
    <t>3829e7e3-1618-4368-9a04-77a209945bda</t>
  </si>
  <si>
    <t>E01.06</t>
  </si>
  <si>
    <t>Use Azure Policy to control which services users can provision at the subscription/management group level</t>
  </si>
  <si>
    <t>43334f24-9116-4341-a2ba-527526944008</t>
  </si>
  <si>
    <t>E01.07</t>
  </si>
  <si>
    <t>Use built-in policies where possible to minimize operational overhead.</t>
  </si>
  <si>
    <t>be7d7e48-4327-46d8-adc0-55bcf619e8a1</t>
  </si>
  <si>
    <t>E01.08</t>
  </si>
  <si>
    <t>Assign the built-in Resource Policy Contributor role at a particular scope to enable application-level governance.</t>
  </si>
  <si>
    <t>Assigning the Resource Policy Contributor role to specific scopes allows you to delegate policy management to relevant teams. For instance, a central IT team may oversee management group-level policies, while application teams handle policies for their subscriptions, enabling distributed governance with adherence to organizational standards.</t>
  </si>
  <si>
    <t>3f988795-25d6-4268-a6d7-0ba6c97be995</t>
  </si>
  <si>
    <t>E01.09</t>
  </si>
  <si>
    <t>Limit the number of Azure Policy assignments made at the root management group scope to avoid managing through exclusions at inherited scopes.</t>
  </si>
  <si>
    <t>19048384-5c98-46cb-8913-156a12476e49</t>
  </si>
  <si>
    <t>E01.10</t>
  </si>
  <si>
    <t>If any data sovereignty requirements exist, Azure Policies can be deployed to enforce them</t>
  </si>
  <si>
    <t>5a917e1f-348e-4f25-9c27-d42e8bbac757</t>
  </si>
  <si>
    <t>E02.01</t>
  </si>
  <si>
    <t>Optimize your cloud investment</t>
  </si>
  <si>
    <t>Consider using automation tags to start/stop VM's in your environment to save on cost.</t>
  </si>
  <si>
    <t>9b5e2a28-9823-4faf-ab7e-afa5f6c57221</t>
  </si>
  <si>
    <t xml:space="preserve">Management </t>
  </si>
  <si>
    <t>Scalability</t>
  </si>
  <si>
    <t>Leverage Azure Virtual Machine Scale sets to scale in and out based on the load.</t>
  </si>
  <si>
    <t>ecdc7506-6f37-4ea9-be87-fc5d3df08a64</t>
  </si>
  <si>
    <t>E02.02</t>
  </si>
  <si>
    <t>Configure 'Actual' and 'Forecasted' Budget Alerts.</t>
  </si>
  <si>
    <t>29fd366b-a180-452b-9bd7-954b7700c667</t>
  </si>
  <si>
    <t>F01.01</t>
  </si>
  <si>
    <t>Management</t>
  </si>
  <si>
    <t>Add diagnostic settings to save WAF logs from application delivery services like Azure Front Door and Azure Application Gateway. Regularly review the logs to check for attacks and for false positive detections.</t>
  </si>
  <si>
    <t>89cc5e11-aa4d-4c3b-893d-feb99215266a</t>
  </si>
  <si>
    <t>F01.02</t>
  </si>
  <si>
    <t>Send WAF logs from your application delivery services like Azure Front Door and Azure Application Gateway to Microsoft Sentinel. Detect attacks and integrate WAF telemetry into your overall Azure environment.</t>
  </si>
  <si>
    <t>7f408960-c626-44cb-a018-347c8d790cdf</t>
  </si>
  <si>
    <t>F02.01</t>
  </si>
  <si>
    <t>Data Protection</t>
  </si>
  <si>
    <t>Consider cross-region replication in Azure for BCDR with paired regions</t>
  </si>
  <si>
    <t>7ea02e1c-7166-45a3-bdf5-098891367fcb</t>
  </si>
  <si>
    <t>F02.02</t>
  </si>
  <si>
    <t>When using Azure Backup, consider the different backup types (GRS, ZRS &amp; LRS) as the default setting is GRS</t>
  </si>
  <si>
    <t>eba8cf22-45c6-4dc1-9b57-2cceb3b97ce5</t>
  </si>
  <si>
    <t>F03.01</t>
  </si>
  <si>
    <t>Monitoring</t>
  </si>
  <si>
    <t>Use a single monitor logs workspace to manage platforms centrally except where Azure role-based access control (Azure RBAC), data sovereignty requirements, or data retention policies mandate separate workspaces.</t>
  </si>
  <si>
    <t>67e7a8ed-4b30-4e38-a3f2-9812b2363cef</t>
  </si>
  <si>
    <t>F03.02</t>
  </si>
  <si>
    <t>Is the landing zone documented?</t>
  </si>
  <si>
    <t>e179b599-de0d-4597-9cd4-cd21b088137f</t>
  </si>
  <si>
    <t>F03.03</t>
  </si>
  <si>
    <t>Use Azure Monitor Logs when log retention requirements exceed two years. You can currently keep data in archived state for up to 7 years.</t>
  </si>
  <si>
    <t>5e6c4cfd-3e50-4454-9c24-47ec66138a72</t>
  </si>
  <si>
    <t>F03.04</t>
  </si>
  <si>
    <t xml:space="preserve">Use Azure Policy for access control and compliance reporting. Azure Policy provides the ability to enforce organization-wide settings to ensure consistent policy adherence and fast violation detection. </t>
  </si>
  <si>
    <t>00f1ce16-ed30-41d6-b872-e52e3611cc58</t>
  </si>
  <si>
    <t>F03.05</t>
  </si>
  <si>
    <t>Monitor in-guest virtual machine (VM) configuration drift using Azure Policy. Enabling guest configuration audit capabilities through policy helps application team workloads to immediately consume feature capabilities with little effort.</t>
  </si>
  <si>
    <t>e7d7e484-3276-4d8b-bc05-5bcf619e8a13</t>
  </si>
  <si>
    <t>F03.06</t>
  </si>
  <si>
    <t xml:space="preserve">Use Update Management in Azure Automation as a long-term patching mechanism for both Windows and Linux VMs. </t>
  </si>
  <si>
    <t>f9887952-5d62-4688-9d70-ba6c97be9951</t>
  </si>
  <si>
    <t>F03.07</t>
  </si>
  <si>
    <t>Use Network Watcher to proactively monitor traffic flows</t>
  </si>
  <si>
    <t>90483845-c986-4cb2-a131-56a12476e49f</t>
  </si>
  <si>
    <t>F03.08</t>
  </si>
  <si>
    <t>Use resource locks to prevent accidental deletion of critical shared services.</t>
  </si>
  <si>
    <t>541acdce-9793-477b-adb3-751ab2ab13ad</t>
  </si>
  <si>
    <t>F03.09</t>
  </si>
  <si>
    <t>Use deny policies to supplement Azure role assignments. The combination of deny policies and Azure role assignments ensures the appropriate guardrails are in place to enforce who can deploy and configure resources and what resources they can deploy and configure.</t>
  </si>
  <si>
    <t>a6e55d7d-8a2a-4db1-87d6-326af625ca44</t>
  </si>
  <si>
    <t>F03.10</t>
  </si>
  <si>
    <t>Include service and resource health events as part of the overall platform monitoring solution. Tracking service and resource health from the platform perspective is an important component of resource management in Azure.</t>
  </si>
  <si>
    <t>e5695f22-23ac-4e8c-a123-08ca5017f154</t>
  </si>
  <si>
    <t>F03.11</t>
  </si>
  <si>
    <t>Include alerts and action groups as part of the Azure Service Health platform to ensure that alerts or issues can be actioned</t>
  </si>
  <si>
    <t>d5f345bf-97ab-41a7-819c-6104baa7d48c</t>
  </si>
  <si>
    <t>F03.12</t>
  </si>
  <si>
    <t>Don't send raw log entries back to on-premises monitoring systems. Instead, adopt a principle that data born in Azure stays in Azure. If on-premises SIEM integration is required, then send critical alerts instead of logs.</t>
  </si>
  <si>
    <t>e3ab3693-829e-47e3-8618-3687a0477a20</t>
  </si>
  <si>
    <t>F03.13</t>
  </si>
  <si>
    <t>Use a centralized Azure Monitor Log Analytics workspace to collect logs and metrics from IaaS and PaaS application resources and control log access with Azure RBAC.</t>
  </si>
  <si>
    <t>9945bda4-3334-4f24-a116-34182ba52752</t>
  </si>
  <si>
    <t>F03.14</t>
  </si>
  <si>
    <t>Use Azure Monitor Logs for insights and reporting.</t>
  </si>
  <si>
    <t>6944008b-e7d7-4e48-9327-6d8bdc055bcf</t>
  </si>
  <si>
    <t>F03.15</t>
  </si>
  <si>
    <t>When necessary, use shared storage accounts within the landing zone for Azure diagnostic extension log storage.</t>
  </si>
  <si>
    <t>619e8a13-f988-4795-85d6-26886d70ba6c</t>
  </si>
  <si>
    <t>F03.16</t>
  </si>
  <si>
    <t>Use Azure Monitor alerts for the generation of operational alerts.</t>
  </si>
  <si>
    <t>97be9951-9048-4384-9c98-6cb2913156a1</t>
  </si>
  <si>
    <t>F03.17</t>
  </si>
  <si>
    <t>Ensure that monitoring requirements have been assessed and that appropriate data collection and alerting configurations are applied</t>
  </si>
  <si>
    <t>859c3900-4514-41eb-b010-475d695abd74</t>
  </si>
  <si>
    <t>F03.18</t>
  </si>
  <si>
    <t>Consider supported regions for linked Log Analytics workspace and automation accounts</t>
  </si>
  <si>
    <t>fed3c55f-a67e-4875-aadd-3aba3f9fde31</t>
  </si>
  <si>
    <t>F04.01</t>
  </si>
  <si>
    <t>Operational compliance</t>
  </si>
  <si>
    <t>Use Azure policies to automatically deploy software configurations through VM extensions and enforce a compliant baseline VM configuration.</t>
  </si>
  <si>
    <t>f541acdc-e979-4377-acdb-3751ab2ab13a</t>
  </si>
  <si>
    <t>F04.02</t>
  </si>
  <si>
    <t>Monitor VM security configuration drift via Azure Policy.</t>
  </si>
  <si>
    <t>Azure Policy's guest configuration features can audit and remediate machine settings (e.g., OS, application, environment) to ensure resources align with expected configurations, and Update Management can enforce patch management for VMs.</t>
  </si>
  <si>
    <t>da6e55d7-d8a2-4adb-817d-6326af625ca4</t>
  </si>
  <si>
    <t>F05.01</t>
  </si>
  <si>
    <t>Protect and Recover</t>
  </si>
  <si>
    <t>Use Azure Site Recovery for Azure-to-Azure Virtual Machines disaster recovery scenarios. This enables you to replicate workloads across regions.</t>
  </si>
  <si>
    <t>2476e49f-541a-4cdc-b979-377bcdb3751a</t>
  </si>
  <si>
    <t>F05.02</t>
  </si>
  <si>
    <t>Ensure to use and test native PaaS service disaster recovery capabilities.</t>
  </si>
  <si>
    <t>b2ab13ad-a6e5-45d7-b8a2-adb117d6326a</t>
  </si>
  <si>
    <t>F05.03</t>
  </si>
  <si>
    <t>Use Azure-native backup capabilities, or an Azure-compatible, 3rd-party backup solution.</t>
  </si>
  <si>
    <t>f625ca44-e569-45f2-823a-ce8cb12308ca</t>
  </si>
  <si>
    <t>F06.01</t>
  </si>
  <si>
    <t>Fault Tolerance</t>
  </si>
  <si>
    <t>Leverage Availability Zones for your VMs in regions where they are supported.</t>
  </si>
  <si>
    <t>826c5c45-bb79-4951-a812-e3bfbfd7326b</t>
  </si>
  <si>
    <t>F06.02</t>
  </si>
  <si>
    <t>Avoid running a production workload on a single VM.</t>
  </si>
  <si>
    <t>7ccb7c06-5511-42df-8177-d97f08d0337d</t>
  </si>
  <si>
    <t>F06.03</t>
  </si>
  <si>
    <t>Azure Load Balancer and Application Gateway distribute incoming network traffic across multiple resources.</t>
  </si>
  <si>
    <t>84101f59-1941-4195-a270-e28034290e3a</t>
  </si>
  <si>
    <t>G01.01</t>
  </si>
  <si>
    <t>Access control</t>
  </si>
  <si>
    <t>Determine the incident response plan for Azure services before allowing it into production.</t>
  </si>
  <si>
    <t>b86ad884-08e3-4727-94b8-75ba18f20459</t>
  </si>
  <si>
    <t>G01.02</t>
  </si>
  <si>
    <t>Implement a zero-trust approach for access to the Azure platform, where appropriate.</t>
  </si>
  <si>
    <t>01365d38-e43f-49cc-ad86-8266abca264f</t>
  </si>
  <si>
    <t>G02.01</t>
  </si>
  <si>
    <t>Encryption and keys</t>
  </si>
  <si>
    <t>Use Azure Key Vault to store your secrets and credentials</t>
  </si>
  <si>
    <t>5017f154-e3ab-4369-9829-e7e316183687</t>
  </si>
  <si>
    <t>G02.02</t>
  </si>
  <si>
    <t>Use different Azure Key Vaults for different applications and regions to avoid transaction scale limits and restrict access to secrets.</t>
  </si>
  <si>
    <t>ResourceContainers | where type=='microsoft.resources/subscriptions'| parse id with '/subscriptions/' SubscriptionID| project subscriptionId, SubscriptionName = name| join kind=leftouter (Resources| where type == 'microsoft.keyvault/vaults'| project id, name, subscriptionId) on subscriptionId| join kind= leftouter (Resources| where type == 'microsoft.keyvault/vaults'| summarize ResourceCount = count() by subscriptionId) on subscriptionId| extend RCount = iff(isnull(ResourceCount), 0, ResourceCount)| project-away ResourceCount| extend compliant = (RCount &lt;&gt; 1)</t>
  </si>
  <si>
    <t>a0477a20-9945-4bda-9333-4f2491163418</t>
  </si>
  <si>
    <t>G02.03</t>
  </si>
  <si>
    <t>Provision Azure Key Vault with the soft delete and purge policies enabled to allow retention protection for deleted objects.</t>
  </si>
  <si>
    <t>2ba52752-6944-4008-ae7d-7e4843276d8b</t>
  </si>
  <si>
    <t>G02.04</t>
  </si>
  <si>
    <t>Follow a least privilege model by limiting authorization to permanently delete keys, secrets, and certificates to specialized custom Microsoft Entra ID roles.</t>
  </si>
  <si>
    <t>dc055bcf-619e-48a1-9f98-879525d62688</t>
  </si>
  <si>
    <t>G02.05</t>
  </si>
  <si>
    <t>Automate the certificate management and renewal process with public certificate authorities to ease administration.</t>
  </si>
  <si>
    <t>6d70ba6c-97be-4995-8904-83845c986cb2</t>
  </si>
  <si>
    <t>G02.06</t>
  </si>
  <si>
    <t>Establish an automated process for key and certificate rotation.</t>
  </si>
  <si>
    <t>913156a1-2476-4e49-b541-acdce979377b</t>
  </si>
  <si>
    <t>G02.07</t>
  </si>
  <si>
    <t>Enable firewall and virtual network service endpoint or private endpoint on the vault to control access to the key vault.</t>
  </si>
  <si>
    <t>cdb3751a-b2ab-413a-ba6e-55d7d8a2adb1</t>
  </si>
  <si>
    <t>G02.08</t>
  </si>
  <si>
    <t>Use the platform-central Azure Monitor Log Analytics workspace to audit key, certificate, and secret usage within each instance of Key Vault.</t>
  </si>
  <si>
    <t>17d6326a-f625-4ca4-9e56-95f2223ace8c</t>
  </si>
  <si>
    <t>G02.09</t>
  </si>
  <si>
    <t>Delegate Key Vault instantiation and privileged access and use Azure Policy to enforce a consistent compliant configuration.</t>
  </si>
  <si>
    <t>b12308ca-5017-4f15-9e3a-b3693829e7e3</t>
  </si>
  <si>
    <t>G02.10</t>
  </si>
  <si>
    <t>Default to Microsoft-managed keys for principal encryption functionality and use customer-managed keys when required.</t>
  </si>
  <si>
    <t>16183687-a047-47a2-8994-5bda43334f24</t>
  </si>
  <si>
    <t>G02.11</t>
  </si>
  <si>
    <t>Use an Azure Key Vault per application per environment per region.</t>
  </si>
  <si>
    <t>91163418-2ba5-4275-8694-4008be7d7e48</t>
  </si>
  <si>
    <t>G02.12</t>
  </si>
  <si>
    <t>If you want to bring your own keys, this might not be supported across all considered services. Implement relevant mitigation so that inconsistencies don't hinder desired outcomes. Choose appropriate region pairs and disaster recovery regions that minimize latency.</t>
  </si>
  <si>
    <t>25d62688-6d70-4ba6-a97b-e99519048384</t>
  </si>
  <si>
    <t>G03.01</t>
  </si>
  <si>
    <t>Use Microsoft Entra ID reporting capabilities to generate access control audit reports.</t>
  </si>
  <si>
    <t>4e5695f2-223a-4ce8-ab12-308ca5017f15</t>
  </si>
  <si>
    <t>G03.02</t>
  </si>
  <si>
    <t>Export Azure activity logs to Azure Monitor Logs for long-term data retention. Export to Azure Storage for long-term storage beyond two years, if necessary.</t>
  </si>
  <si>
    <t>4e3ab369-3829-4e7e-9161-83687a0477a2</t>
  </si>
  <si>
    <t>G03.03</t>
  </si>
  <si>
    <t>Enable Defender Cloud Security Posture Management for all subscriptions.</t>
  </si>
  <si>
    <t>09945bda-4333-44f2-9911-634182ba5275</t>
  </si>
  <si>
    <t>G03.04</t>
  </si>
  <si>
    <t>Enable a Defender Cloud Workload Protection Plan for Servers on all subscriptions.</t>
  </si>
  <si>
    <t>36a72a48-fffe-4c40-9747-0ab5064355ba</t>
  </si>
  <si>
    <t>G03.05</t>
  </si>
  <si>
    <t>Enable Defender Cloud Workload Protection Plans for Azure Resources on all subscriptions.</t>
  </si>
  <si>
    <t>77425f48-ecba-43a0-aeac-a3ac733ccc6a</t>
  </si>
  <si>
    <t>G03.06</t>
  </si>
  <si>
    <t>Enable Endpoint Protection on IaaS Servers.</t>
  </si>
  <si>
    <t>24d96b30-61ee-4436-a1cc-d6ef08bc574b</t>
  </si>
  <si>
    <t>G03.07</t>
  </si>
  <si>
    <t>Monitor base operating system patching drift via Azure Monitor Logs and Defender for Cloud.</t>
  </si>
  <si>
    <t>15833ee7-ad6c-46d3-9331-65c7acbe44ab</t>
  </si>
  <si>
    <t>G03.08</t>
  </si>
  <si>
    <t>Connect default resource configurations to a centralized Azure Monitor Log Analytics workspace.</t>
  </si>
  <si>
    <t>e5f8d79f-2e87-4768-924c-516775c6ea95</t>
  </si>
  <si>
    <t>G04.01</t>
  </si>
  <si>
    <t>Overview</t>
  </si>
  <si>
    <t>Secure transfer to storage accounts should be enabled</t>
  </si>
  <si>
    <t>b03ed428-4617-4067-a787-85468b9ccf3f</t>
  </si>
  <si>
    <t>G04.02</t>
  </si>
  <si>
    <t>Enable container soft delete for the storage account to recover a deleted container and its contents.</t>
  </si>
  <si>
    <t>159aac9f-863f-4f48-82cf-00c28fa97a0e</t>
  </si>
  <si>
    <t>G05.01</t>
  </si>
  <si>
    <t>Secure privileged access</t>
  </si>
  <si>
    <t>Separate privileged admin accounts for Azure administrative tasks.</t>
  </si>
  <si>
    <t>6f704104-85c1-441f-96d3-c9819911645e</t>
  </si>
  <si>
    <t>G06.01</t>
  </si>
  <si>
    <t>Service enablement framework</t>
  </si>
  <si>
    <t>Plan how new azure services will be implemented</t>
  </si>
  <si>
    <t>9a19bf39-c95d-444c-9c89-19ca1f6d5215</t>
  </si>
  <si>
    <t>G06.02</t>
  </si>
  <si>
    <t>Plan how service request will be fulfilled for Azure services</t>
  </si>
  <si>
    <t>ae514b93-3d45-485e-8112-9bd7ba012f7b</t>
  </si>
  <si>
    <t>H01.01</t>
  </si>
  <si>
    <t>Platform Automation and DevOps</t>
  </si>
  <si>
    <t>DevOps Team Topologies</t>
  </si>
  <si>
    <t>Ensure you have a cross functional DevOps Platform Team to build, manage and maintain your Azure Landing Zone architecture.</t>
  </si>
  <si>
    <t>e85f4226-bf06-4e35-8a8b-7aee4d2d633a</t>
  </si>
  <si>
    <t>H01.02</t>
  </si>
  <si>
    <t>Aim to define functions for Azure Landing Zone Platform team.</t>
  </si>
  <si>
    <t>634146bf-7085-4419-a7b5-f96d2726f6da</t>
  </si>
  <si>
    <t>H01.03</t>
  </si>
  <si>
    <t>Aim to define functions for application workload teams to be self-sufficient and not require DevOps Platform Team support. Achieve this through the use of custom RBAC role.</t>
  </si>
  <si>
    <t>a9e65070-c59e-4112-8bf6-c11364d4a2a5</t>
  </si>
  <si>
    <t>H01.04</t>
  </si>
  <si>
    <t>Use a CI/CD pipeline to deploy IaC artifacts and ensure the quality of your deployment and Azure environments.</t>
  </si>
  <si>
    <t>165eb5e9-b434-448a-9e24-178632186212</t>
  </si>
  <si>
    <t>H01.05</t>
  </si>
  <si>
    <t>Include unit tests for IaC and application code as part of your build process.</t>
  </si>
  <si>
    <t>0cadb8c7-8fa5-4fbf-8f39-d1fadb3b0460</t>
  </si>
  <si>
    <t>H01.06</t>
  </si>
  <si>
    <t>Use Key Vault secrets to avoid hard-coding sensitive information such as credentials (virtual machines user passwords), certificates or keys.</t>
  </si>
  <si>
    <t>108d5099-a11d-4445-bd8b-e12a5e95412e</t>
  </si>
  <si>
    <t>H01.07</t>
  </si>
  <si>
    <t>Implement automation for File &gt; New &gt; Landing Zone for applications and workloads.</t>
  </si>
  <si>
    <t>a52e0c98-76b9-4a09-a1c9-6b2babf22ac4</t>
  </si>
  <si>
    <t>H02.01</t>
  </si>
  <si>
    <t>Development Lifecycle</t>
  </si>
  <si>
    <t>Ensure a version control system is used for source code of applications and IaC developed. Microsoft recommends Git.</t>
  </si>
  <si>
    <t>cfe363b5-f579-4284-bc56-a42153e4c10b</t>
  </si>
  <si>
    <t>H02.02</t>
  </si>
  <si>
    <t>Follow a branching strategy to allow teams to collaborate better and efficiently manage version control of IaC and application Code. Review options such as Github Flow.</t>
  </si>
  <si>
    <t>c7245dd4-af8a-403a-8bb7-890c1a7cfa9d</t>
  </si>
  <si>
    <t>H02.03</t>
  </si>
  <si>
    <t>Adopt a pull request strategy to help keep control of code changes merged into branches.</t>
  </si>
  <si>
    <t>12aeea20-9165-4b3e-bdf2-6795fcd3cdbe</t>
  </si>
  <si>
    <t>H03.01</t>
  </si>
  <si>
    <t>Development Strategy</t>
  </si>
  <si>
    <t>Leverage Declarative Infrastructure as Code Tools such as Azure Bicep, ARM Templates or Terraform to build and maintain your Azure Landing Zone architecture. Both from a Platform and Application workload perspective.</t>
  </si>
  <si>
    <t>2cdc9d99-dbcc-4ad4-97f5-e7d358bdfa73</t>
  </si>
  <si>
    <t>H04.01</t>
  </si>
  <si>
    <t>Integrate security into the already combined process of development and operations in DevOps to mitigate risks in the innovation process.</t>
  </si>
  <si>
    <t>cc87a3bc-c572-4ad2-92ed-8cabab66160f</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</si>
</sst>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0\ %"/>
  </numFmts>
  <fonts count="27">
    <font>
      <sz val="11"/>
      <color theme="1"/>
      <name val="Calibri"/>
      <family val="2"/>
      <scheme val="minor"/>
    </font>
    <font>
      <u/>
      <sz val="11"/>
      <color theme="10"/>
      <name val="Calibri"/>
      <family val="2"/>
      <scheme val="minor"/>
    </font>
    <font>
      <sz val="11"/>
      <color theme="1"/>
      <name val="Calibri"/>
      <family val="2"/>
      <scheme val="minor"/>
    </font>
    <font>
      <sz val="11"/>
      <color theme="1"/>
      <name val="Segoe UI"/>
      <family val="2"/>
    </font>
    <font>
      <sz val="16"/>
      <color theme="0"/>
      <name val="Segoe UI Semibold"/>
      <family val="2"/>
    </font>
    <font>
      <b/>
      <sz val="11"/>
      <color theme="1"/>
      <name val="Segoe UI"/>
      <family val="2"/>
    </font>
    <font>
      <b/>
      <sz val="11"/>
      <color theme="1"/>
      <name val="Calibri"/>
      <family val="2"/>
      <scheme val="minor"/>
    </font>
    <font>
      <sz val="11"/>
      <color theme="1"/>
      <name val="Segoe UI Semibold"/>
      <family val="2"/>
    </font>
    <font>
      <b/>
      <sz val="11"/>
      <color theme="4"/>
      <name val="Calibri"/>
      <family val="2"/>
      <scheme val="minor"/>
    </font>
    <font>
      <b/>
      <sz val="24"/>
      <color theme="4"/>
      <name val="Calibri"/>
      <family val="2"/>
      <scheme val="minor"/>
    </font>
    <font>
      <sz val="8"/>
      <color rgb="FF000000"/>
      <name val="Segoe UI"/>
      <family val="2"/>
    </font>
    <font>
      <b/>
      <sz val="18"/>
      <color theme="4"/>
      <name val="Segoe UI"/>
      <family val="2"/>
    </font>
    <font>
      <sz val="11"/>
      <color rgb="FF000000"/>
      <name val="Calibri"/>
      <family val="2"/>
    </font>
    <font>
      <b/>
      <sz val="14"/>
      <color theme="4"/>
      <name val="Calibri"/>
      <family val="2"/>
    </font>
    <font>
      <b/>
      <sz val="22"/>
      <color rgb="FF4472C4"/>
      <name val="Calibri"/>
      <family val="2"/>
      <charset val="1"/>
    </font>
    <font>
      <b/>
      <sz val="12"/>
      <color theme="4"/>
      <name val="Segoe UI"/>
      <family val="2"/>
    </font>
    <font>
      <sz val="11"/>
      <color theme="1"/>
      <name val="Segoe UI"/>
      <family val="2"/>
      <charset val="2"/>
    </font>
    <font>
      <sz val="10"/>
      <color theme="1"/>
      <name val="Segoe UI"/>
      <family val="2"/>
    </font>
    <font>
      <sz val="10"/>
      <color theme="1"/>
      <name val="Segoe UI"/>
      <family val="2"/>
      <charset val="2"/>
    </font>
    <font>
      <sz val="10"/>
      <color theme="1"/>
      <name val="Wingdings"/>
      <charset val="2"/>
    </font>
    <font>
      <sz val="11"/>
      <color theme="0" tint="-0.34998626667073579"/>
      <name val="Consolas"/>
      <family val="3"/>
    </font>
    <font>
      <sz val="11"/>
      <name val="Segoe UI"/>
      <family val="2"/>
    </font>
    <font>
      <sz val="12"/>
      <color theme="4"/>
      <name val="Segoe UI"/>
      <family val="2"/>
    </font>
    <font>
      <sz val="11"/>
      <color theme="4"/>
      <name val="Segoe UI"/>
      <family val="2"/>
    </font>
    <font>
      <sz val="14"/>
      <color theme="0"/>
      <name val="Segoe UI Semibold"/>
      <family val="2"/>
    </font>
    <font>
      <sz val="14"/>
      <color theme="0" tint="-0.499984740745262"/>
      <name val="Segoe UI Semibold"/>
      <family val="2"/>
    </font>
    <font>
      <sz val="28"/>
      <color theme="4"/>
      <name val="Segoe UI Semibold"/>
      <family val="2"/>
    </font>
  </fonts>
  <fills count="10">
    <fill>
      <patternFill patternType="none"/>
    </fill>
    <fill>
      <patternFill patternType="gray125"/>
    </fill>
    <fill>
      <patternFill patternType="solid">
        <fgColor rgb="FFFFFFCC"/>
      </patternFill>
    </fill>
    <fill>
      <patternFill patternType="solid">
        <fgColor rgb="FFFF0000"/>
        <bgColor indexed="64"/>
      </patternFill>
    </fill>
    <fill>
      <patternFill patternType="solid">
        <fgColor rgb="FF00B050"/>
        <bgColor indexed="64"/>
      </patternFill>
    </fill>
    <fill>
      <patternFill patternType="solid">
        <fgColor theme="1"/>
        <bgColor indexed="64"/>
      </patternFill>
    </fill>
    <fill>
      <patternFill patternType="solid">
        <fgColor theme="0" tint="-0.249977111117893"/>
        <bgColor indexed="64"/>
      </patternFill>
    </fill>
    <fill>
      <patternFill patternType="solid">
        <fgColor theme="7"/>
        <bgColor indexed="64"/>
      </patternFill>
    </fill>
    <fill>
      <patternFill patternType="solid">
        <fgColor theme="9" tint="0.79998168889431442"/>
        <bgColor indexed="64"/>
      </patternFill>
    </fill>
    <fill>
      <patternFill patternType="solid">
        <fgColor theme="2"/>
        <bgColor indexed="64"/>
      </patternFill>
    </fill>
  </fills>
  <borders count="5">
    <border>
      <left/>
      <right/>
      <top/>
      <bottom/>
      <diagonal/>
    </border>
    <border>
      <left style="thin">
        <color rgb="FFB2B2B2"/>
      </left>
      <right style="thin">
        <color rgb="FFB2B2B2"/>
      </right>
      <top style="thin">
        <color rgb="FFB2B2B2"/>
      </top>
      <bottom style="thin">
        <color rgb="FFB2B2B2"/>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s>
  <cellStyleXfs count="4">
    <xf numFmtId="0" fontId="0" fillId="0" borderId="0"/>
    <xf numFmtId="0" fontId="1" fillId="0" borderId="0" applyNumberFormat="0" applyFill="0" applyBorder="0" applyAlignment="0" applyProtection="0"/>
    <xf numFmtId="0" fontId="2" fillId="2" borderId="1" applyNumberFormat="0" applyFont="0" applyAlignment="0" applyProtection="0"/>
    <xf numFmtId="9" fontId="2" fillId="0" borderId="0" applyFont="0" applyFill="0" applyBorder="0" applyAlignment="0" applyProtection="0"/>
  </cellStyleXfs>
  <cellXfs count="46">
    <xf numFmtId="0" fontId="0" fillId="0" borderId="0" xfId="0"/>
    <xf numFmtId="0" fontId="3" fillId="0" borderId="0" xfId="0" applyFont="1" applyAlignment="1">
      <alignment horizontal="left" vertical="top" wrapText="1"/>
    </xf>
    <xf numFmtId="0" fontId="3" fillId="0" borderId="0" xfId="0" applyFont="1" applyAlignment="1">
      <alignment horizontal="left" vertical="top"/>
    </xf>
    <xf numFmtId="0" fontId="3" fillId="0" borderId="0" xfId="0" applyFont="1" applyAlignment="1">
      <alignment vertical="top" wrapText="1"/>
    </xf>
    <xf numFmtId="0" fontId="5" fillId="0" borderId="0" xfId="2" applyFont="1" applyFill="1" applyBorder="1" applyAlignment="1">
      <alignment vertical="top" wrapText="1"/>
    </xf>
    <xf numFmtId="0" fontId="5" fillId="0" borderId="0" xfId="0" applyFont="1" applyAlignment="1">
      <alignment horizontal="left" vertical="top"/>
    </xf>
    <xf numFmtId="0" fontId="3" fillId="0" borderId="0" xfId="0" applyFont="1" applyAlignment="1">
      <alignment vertical="top"/>
    </xf>
    <xf numFmtId="0" fontId="0" fillId="3" borderId="0" xfId="0" applyFill="1"/>
    <xf numFmtId="0" fontId="0" fillId="4" borderId="0" xfId="0" applyFill="1"/>
    <xf numFmtId="0" fontId="0" fillId="6" borderId="0" xfId="0" applyFill="1"/>
    <xf numFmtId="0" fontId="0" fillId="7" borderId="0" xfId="0" applyFill="1"/>
    <xf numFmtId="0" fontId="7" fillId="0" borderId="0" xfId="0" applyFont="1" applyAlignment="1">
      <alignment horizontal="left" vertical="center" wrapText="1" indent="10"/>
    </xf>
    <xf numFmtId="0" fontId="6" fillId="0" borderId="0" xfId="0" applyFont="1"/>
    <xf numFmtId="0" fontId="9" fillId="0" borderId="0" xfId="0" applyFont="1"/>
    <xf numFmtId="9" fontId="0" fillId="0" borderId="0" xfId="3" applyFont="1"/>
    <xf numFmtId="9" fontId="8" fillId="0" borderId="0" xfId="3" applyFont="1"/>
    <xf numFmtId="0" fontId="11" fillId="0" borderId="0" xfId="2" applyFont="1" applyFill="1" applyBorder="1" applyAlignment="1">
      <alignment horizontal="left" vertical="center"/>
    </xf>
    <xf numFmtId="164" fontId="14" fillId="0" borderId="0" xfId="0" applyNumberFormat="1" applyFont="1"/>
    <xf numFmtId="0" fontId="13" fillId="0" borderId="0" xfId="0" applyFont="1" applyAlignment="1">
      <alignment horizontal="center" vertical="center" wrapText="1"/>
    </xf>
    <xf numFmtId="0" fontId="1" fillId="0" borderId="0" xfId="1" applyAlignment="1">
      <alignment horizontal="left" vertical="top"/>
    </xf>
    <xf numFmtId="0" fontId="7" fillId="8" borderId="2" xfId="0" applyFont="1" applyFill="1" applyBorder="1" applyAlignment="1">
      <alignment horizontal="left" vertical="center" wrapText="1" indent="10"/>
    </xf>
    <xf numFmtId="0" fontId="15" fillId="8" borderId="4" xfId="0" applyFont="1" applyFill="1" applyBorder="1" applyAlignment="1">
      <alignment horizontal="center" vertical="center" wrapText="1"/>
    </xf>
    <xf numFmtId="0" fontId="16" fillId="0" borderId="0" xfId="0" applyFont="1" applyAlignment="1">
      <alignment horizontal="left" vertical="center" wrapText="1"/>
    </xf>
    <xf numFmtId="0" fontId="3" fillId="0" borderId="0" xfId="0" applyFont="1" applyAlignment="1">
      <alignment horizontal="left"/>
    </xf>
    <xf numFmtId="0" fontId="15" fillId="0" borderId="0" xfId="0" applyFont="1" applyAlignment="1">
      <alignment horizontal="center" vertical="center"/>
    </xf>
    <xf numFmtId="0" fontId="15" fillId="0" borderId="0" xfId="0" applyFont="1" applyAlignment="1">
      <alignment horizontal="center" vertical="center" wrapText="1"/>
    </xf>
    <xf numFmtId="0" fontId="18" fillId="0" borderId="0" xfId="0" applyFont="1" applyAlignment="1">
      <alignment horizontal="left" vertical="center" wrapText="1"/>
    </xf>
    <xf numFmtId="0" fontId="4" fillId="0" borderId="0" xfId="0" applyFont="1" applyAlignment="1">
      <alignment horizontal="left" vertical="top"/>
    </xf>
    <xf numFmtId="0" fontId="16" fillId="0" borderId="0" xfId="0" applyFont="1" applyAlignment="1">
      <alignment horizontal="left" vertical="center"/>
    </xf>
    <xf numFmtId="0" fontId="21" fillId="0" borderId="0" xfId="1" applyFont="1" applyAlignment="1">
      <alignment horizontal="left" vertical="top"/>
    </xf>
    <xf numFmtId="0" fontId="20" fillId="9" borderId="0" xfId="1" applyFont="1" applyFill="1" applyAlignment="1">
      <alignment horizontal="left" vertical="top"/>
    </xf>
    <xf numFmtId="11" fontId="20" fillId="9" borderId="0" xfId="1" applyNumberFormat="1" applyFont="1" applyFill="1" applyAlignment="1">
      <alignment horizontal="left" vertical="top"/>
    </xf>
    <xf numFmtId="0" fontId="20" fillId="9" borderId="0" xfId="1" applyFont="1" applyFill="1" applyAlignment="1">
      <alignment horizontal="center" vertical="top"/>
    </xf>
    <xf numFmtId="0" fontId="0" fillId="0" borderId="0" xfId="0" applyAlignment="1">
      <alignment horizontal="center"/>
    </xf>
    <xf numFmtId="9" fontId="3" fillId="0" borderId="0" xfId="0" applyNumberFormat="1" applyFont="1" applyAlignment="1">
      <alignment horizontal="center" vertical="top"/>
    </xf>
    <xf numFmtId="0" fontId="15" fillId="8" borderId="3" xfId="0" applyFont="1" applyFill="1" applyBorder="1" applyAlignment="1">
      <alignment horizontal="right" vertical="center" wrapText="1"/>
    </xf>
    <xf numFmtId="0" fontId="22" fillId="0" borderId="0" xfId="0" applyFont="1" applyAlignment="1">
      <alignment vertical="top" wrapText="1"/>
    </xf>
    <xf numFmtId="0" fontId="23" fillId="0" borderId="0" xfId="0" applyFont="1" applyAlignment="1">
      <alignment vertical="top" wrapText="1"/>
    </xf>
    <xf numFmtId="15" fontId="23" fillId="0" borderId="0" xfId="0" applyNumberFormat="1" applyFont="1" applyAlignment="1">
      <alignment vertical="top" wrapText="1"/>
    </xf>
    <xf numFmtId="0" fontId="24" fillId="5" borderId="0" xfId="0" applyFont="1" applyFill="1" applyAlignment="1">
      <alignment horizontal="left" vertical="top"/>
    </xf>
    <xf numFmtId="0" fontId="25" fillId="5" borderId="0" xfId="0" applyFont="1" applyFill="1" applyAlignment="1">
      <alignment horizontal="left" vertical="top"/>
    </xf>
    <xf numFmtId="0" fontId="25" fillId="5" borderId="0" xfId="0" applyFont="1" applyFill="1" applyAlignment="1">
      <alignment horizontal="center" vertical="top"/>
    </xf>
    <xf numFmtId="0" fontId="3" fillId="0" borderId="0" xfId="0" applyFont="1" applyAlignment="1">
      <alignment horizontal="right" vertical="top"/>
    </xf>
    <xf numFmtId="0" fontId="1" fillId="0" borderId="0" xfId="1"/>
    <xf numFmtId="0" fontId="26" fillId="0" borderId="0" xfId="0" applyFont="1" applyAlignment="1">
      <alignment horizontal="left" vertical="center" wrapText="1" indent="10"/>
    </xf>
    <xf numFmtId="0" fontId="3" fillId="0" borderId="0" xfId="0" applyFont="1" applyAlignment="1">
      <alignment horizontal="left"/>
    </xf>
  </cellXfs>
  <cellStyles count="4">
    <cellStyle name="Hyperlink" xfId="1" builtinId="8"/>
    <cellStyle name="Normal" xfId="0" builtinId="0"/>
    <cellStyle name="Note" xfId="2" builtinId="10"/>
    <cellStyle name="Percent" xfId="3" builtinId="5"/>
  </cellStyles>
  <dxfs count="37">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fill>
        <patternFill>
          <bgColor rgb="FFFF0000"/>
        </patternFill>
      </fill>
    </dxf>
    <dxf>
      <fill>
        <patternFill>
          <bgColor theme="2"/>
        </patternFill>
      </fill>
    </dxf>
    <dxf>
      <fill>
        <patternFill>
          <bgColor rgb="FFFFC000"/>
        </patternFill>
      </fill>
    </dxf>
    <dxf>
      <fill>
        <patternFill>
          <bgColor rgb="FF00B050"/>
        </patternFill>
      </fill>
    </dxf>
    <dxf>
      <fill>
        <patternFill>
          <bgColor rgb="FF00B050"/>
        </patternFill>
      </fill>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border>
    </dxf>
    <dxf>
      <border>
        <bottom style="thin">
          <color auto="1"/>
        </bottom>
        <vertical/>
        <horizontal/>
      </border>
    </dxf>
    <dxf>
      <border>
        <bottom style="thin">
          <color theme="2" tint="-9.9948118533890809E-2"/>
        </bottom>
        <vertical/>
        <horizontal/>
      </border>
    </dxf>
    <dxf>
      <border>
        <bottom style="thin">
          <color auto="1"/>
        </bottom>
        <vertical/>
        <horizontal/>
      </border>
    </dxf>
    <dxf>
      <border>
        <bottom style="thin">
          <color theme="2" tint="-9.9948118533890809E-2"/>
        </bottom>
        <vertical/>
        <horizontal/>
      </border>
    </dxf>
    <dxf>
      <border>
        <bottom style="thin">
          <color auto="1"/>
        </bottom>
        <vertical/>
        <horizontal/>
      </border>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
      <fill>
        <patternFill>
          <bgColor rgb="FFFF0000"/>
        </patternFill>
      </fill>
    </dxf>
    <dxf>
      <fill>
        <patternFill>
          <bgColor theme="2"/>
        </patternFill>
      </fill>
    </dxf>
    <dxf>
      <fill>
        <patternFill>
          <bgColor rgb="FF00B050"/>
        </patternFill>
      </fill>
    </dxf>
    <dxf>
      <fill>
        <patternFill>
          <bgColor rgb="FFFFC000"/>
        </patternFill>
      </fill>
    </dxf>
    <dxf>
      <fill>
        <patternFill>
          <bgColor rgb="FF00B050"/>
        </patternFill>
      </fill>
    </dxf>
  </dxfs>
  <tableStyles count="0" defaultTableStyle="TableStyleMedium2" defaultPivotStyle="PivotStyleLight16"/>
  <colors>
    <mruColors>
      <color rgb="FF625E5E"/>
      <color rgb="FF817D7D"/>
      <color rgb="FF0078D4"/>
      <color rgb="FF50E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eetMetadata" Target="metadata.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openxmlformats.org/officeDocument/2006/relationships/customXml" Target="../customXml/item3.xml"/><Relationship Id="rId5" Type="http://schemas.openxmlformats.org/officeDocument/2006/relationships/styles" Target="styles.xml"/><Relationship Id="rId10" Type="http://schemas.openxmlformats.org/officeDocument/2006/relationships/customXml" Target="../customXml/item2.xml"/><Relationship Id="rId4" Type="http://schemas.openxmlformats.org/officeDocument/2006/relationships/theme" Target="theme/theme1.xml"/><Relationship Id="rId9" Type="http://schemas.openxmlformats.org/officeDocument/2006/relationships/customXml" Target="../customXml/item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Overall checks (per severity)</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B022-4103-AB6F-73A89D7045B8}"/>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B022-4103-AB6F-73A89D7045B8}"/>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B022-4103-AB6F-73A89D7045B8}"/>
              </c:ext>
            </c:extLst>
          </c:dPt>
          <c:cat>
            <c:strRef>
              <c:f>Dashboard!$A$6:$A$8</c:f>
              <c:strCache>
                <c:ptCount val="3"/>
                <c:pt idx="0">
                  <c:v>High</c:v>
                </c:pt>
                <c:pt idx="1">
                  <c:v>Medium</c:v>
                </c:pt>
                <c:pt idx="2">
                  <c:v>Low</c:v>
                </c:pt>
              </c:strCache>
            </c:strRef>
          </c:cat>
          <c:val>
            <c:numRef>
              <c:f>Dashboard!$G$6:$G$8</c:f>
              <c:numCache>
                <c:formatCode>General</c:formatCode>
                <c:ptCount val="3"/>
                <c:pt idx="0">
                  <c:v>53</c:v>
                </c:pt>
                <c:pt idx="1">
                  <c:v>134</c:v>
                </c:pt>
                <c:pt idx="2">
                  <c:v>25</c:v>
                </c:pt>
              </c:numCache>
            </c:numRef>
          </c:val>
          <c:extLst>
            <c:ext xmlns:c16="http://schemas.microsoft.com/office/drawing/2014/chart" uri="{C3380CC4-5D6E-409C-BE32-E72D297353CC}">
              <c16:uniqueId val="{00000000-40F4-4D4C-B7F3-53AA5B0E7933}"/>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(overall)</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328-4E93-9FAF-CDC3684C0D60}"/>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328-4E93-9FAF-CDC3684C0D60}"/>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328-4E93-9FAF-CDC3684C0D60}"/>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328-4E93-9FAF-CDC3684C0D60}"/>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2C0-4481-A17F-64AA10FF225C}"/>
              </c:ext>
            </c:extLst>
          </c:dPt>
          <c:cat>
            <c:strRef>
              <c:f>Dashboard!$B$5:$F$5</c:f>
              <c:strCache>
                <c:ptCount val="5"/>
                <c:pt idx="0">
                  <c:v>Not verified</c:v>
                </c:pt>
                <c:pt idx="1">
                  <c:v>Open</c:v>
                </c:pt>
                <c:pt idx="2">
                  <c:v>Fulfilled</c:v>
                </c:pt>
                <c:pt idx="3">
                  <c:v>Not required</c:v>
                </c:pt>
                <c:pt idx="4">
                  <c:v>N/A</c:v>
                </c:pt>
              </c:strCache>
            </c:strRef>
          </c:cat>
          <c:val>
            <c:numRef>
              <c:f>Dashboard!$B$9:$F$9</c:f>
              <c:numCache>
                <c:formatCode>General</c:formatCode>
                <c:ptCount val="5"/>
                <c:pt idx="0">
                  <c:v>212</c:v>
                </c:pt>
                <c:pt idx="1">
                  <c:v>0</c:v>
                </c:pt>
                <c:pt idx="2">
                  <c:v>0</c:v>
                </c:pt>
                <c:pt idx="3">
                  <c:v>0</c:v>
                </c:pt>
                <c:pt idx="4">
                  <c:v>0</c:v>
                </c:pt>
              </c:numCache>
            </c:numRef>
          </c:val>
          <c:extLst>
            <c:ext xmlns:c16="http://schemas.microsoft.com/office/drawing/2014/chart" uri="{C3380CC4-5D6E-409C-BE32-E72D297353CC}">
              <c16:uniqueId val="{00000000-AAA7-491E-BF02-221FE53ECC2B}"/>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(Medium)</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1"/>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16-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17-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18-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9-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A4EC-4BEE-A3E6-58C5A0D0870B}"/>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134</c:v>
                </c:pt>
                <c:pt idx="1">
                  <c:v>0</c:v>
                </c:pt>
                <c:pt idx="2">
                  <c:v>0</c:v>
                </c:pt>
                <c:pt idx="3">
                  <c:v>0</c:v>
                </c:pt>
                <c:pt idx="4">
                  <c:v>0</c:v>
                </c:pt>
              </c:numCache>
            </c:numRef>
          </c:val>
          <c:extLst>
            <c:ext xmlns:c16="http://schemas.microsoft.com/office/drawing/2014/chart" uri="{C3380CC4-5D6E-409C-BE32-E72D297353CC}">
              <c16:uniqueId val="{00000015-7027-42E9-A368-B66B4711060D}"/>
            </c:ext>
          </c:extLst>
        </c:ser>
        <c:ser>
          <c:idx val="0"/>
          <c:order val="1"/>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B-7027-42E9-A368-B66B4711060D}"/>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D-7027-42E9-A368-B66B4711060D}"/>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F-7027-42E9-A368-B66B4711060D}"/>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11-7027-42E9-A368-B66B4711060D}"/>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13-7027-42E9-A368-B66B4711060D}"/>
              </c:ext>
            </c:extLst>
          </c:dPt>
          <c:cat>
            <c:strRef>
              <c:f>Dashboard!$B$5:$F$5</c:f>
              <c:strCache>
                <c:ptCount val="5"/>
                <c:pt idx="0">
                  <c:v>Not verified</c:v>
                </c:pt>
                <c:pt idx="1">
                  <c:v>Open</c:v>
                </c:pt>
                <c:pt idx="2">
                  <c:v>Fulfilled</c:v>
                </c:pt>
                <c:pt idx="3">
                  <c:v>Not required</c:v>
                </c:pt>
                <c:pt idx="4">
                  <c:v>N/A</c:v>
                </c:pt>
              </c:strCache>
            </c:strRef>
          </c:cat>
          <c:val>
            <c:numRef>
              <c:f>Dashboard!$B$7:$F$7</c:f>
              <c:numCache>
                <c:formatCode>General</c:formatCode>
                <c:ptCount val="5"/>
                <c:pt idx="0">
                  <c:v>134</c:v>
                </c:pt>
                <c:pt idx="1">
                  <c:v>0</c:v>
                </c:pt>
                <c:pt idx="2">
                  <c:v>0</c:v>
                </c:pt>
                <c:pt idx="3">
                  <c:v>0</c:v>
                </c:pt>
                <c:pt idx="4">
                  <c:v>0</c:v>
                </c:pt>
              </c:numCache>
            </c:numRef>
          </c:val>
          <c:extLst>
            <c:ext xmlns:c16="http://schemas.microsoft.com/office/drawing/2014/chart" uri="{C3380CC4-5D6E-409C-BE32-E72D297353CC}">
              <c16:uniqueId val="{00000014-7027-42E9-A368-B66B4711060D}"/>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extLst/>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(Low)</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360B-4975-A672-1060207E218B}"/>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360B-4975-A672-1060207E218B}"/>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360B-4975-A672-1060207E218B}"/>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360B-4975-A672-1060207E218B}"/>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9079-4179-B979-F16F137A6747}"/>
              </c:ext>
            </c:extLst>
          </c:dPt>
          <c:cat>
            <c:strRef>
              <c:f>Dashboard!$B$5:$F$5</c:f>
              <c:strCache>
                <c:ptCount val="5"/>
                <c:pt idx="0">
                  <c:v>Not verified</c:v>
                </c:pt>
                <c:pt idx="1">
                  <c:v>Open</c:v>
                </c:pt>
                <c:pt idx="2">
                  <c:v>Fulfilled</c:v>
                </c:pt>
                <c:pt idx="3">
                  <c:v>Not required</c:v>
                </c:pt>
                <c:pt idx="4">
                  <c:v>N/A</c:v>
                </c:pt>
              </c:strCache>
            </c:strRef>
          </c:cat>
          <c:val>
            <c:numRef>
              <c:f>Dashboard!$B$8:$F$8</c:f>
              <c:numCache>
                <c:formatCode>General</c:formatCode>
                <c:ptCount val="5"/>
                <c:pt idx="0">
                  <c:v>25</c:v>
                </c:pt>
                <c:pt idx="1">
                  <c:v>0</c:v>
                </c:pt>
                <c:pt idx="2">
                  <c:v>0</c:v>
                </c:pt>
                <c:pt idx="3">
                  <c:v>0</c:v>
                </c:pt>
                <c:pt idx="4">
                  <c:v>0</c:v>
                </c:pt>
              </c:numCache>
            </c:numRef>
          </c:val>
          <c:extLst>
            <c:ext xmlns:c16="http://schemas.microsoft.com/office/drawing/2014/chart" uri="{C3380CC4-5D6E-409C-BE32-E72D297353CC}">
              <c16:uniqueId val="{00000000-7B85-4812-8DC5-4FEFD49C0CB7}"/>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r>
              <a:rPr lang="en-US" sz="1000"/>
              <a:t>Overall checks (per design</a:t>
            </a:r>
            <a:r>
              <a:rPr lang="en-US" sz="1000" baseline="0"/>
              <a:t> area)</a:t>
            </a:r>
            <a:endParaRPr lang="en-US" sz="1000"/>
          </a:p>
        </c:rich>
      </c:tx>
      <c:overlay val="0"/>
      <c:spPr>
        <a:noFill/>
        <a:ln>
          <a:noFill/>
        </a:ln>
        <a:effectLst/>
      </c:spPr>
      <c:txPr>
        <a:bodyPr rot="0" spcFirstLastPara="1" vertOverflow="ellipsis" vert="horz" wrap="square" anchor="ctr" anchorCtr="1"/>
        <a:lstStyle/>
        <a:p>
          <a:pPr>
            <a:defRPr sz="10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5D9E-4CE0-A990-137DE654B407}"/>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5D9E-4CE0-A990-137DE654B407}"/>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5D9E-4CE0-A990-137DE654B407}"/>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5D9E-4CE0-A990-137DE654B407}"/>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5D9E-4CE0-A990-137DE654B407}"/>
              </c:ext>
            </c:extLst>
          </c:dPt>
          <c:dPt>
            <c:idx val="5"/>
            <c:bubble3D val="0"/>
            <c:spPr>
              <a:solidFill>
                <a:schemeClr val="accent6"/>
              </a:solidFill>
              <a:ln w="25400">
                <a:solidFill>
                  <a:schemeClr val="lt1"/>
                </a:solidFill>
              </a:ln>
              <a:effectLst/>
              <a:sp3d contourW="25400">
                <a:contourClr>
                  <a:schemeClr val="lt1"/>
                </a:contourClr>
              </a:sp3d>
            </c:spPr>
            <c:extLst>
              <c:ext xmlns:c16="http://schemas.microsoft.com/office/drawing/2014/chart" uri="{C3380CC4-5D6E-409C-BE32-E72D297353CC}">
                <c16:uniqueId val="{0000000B-5D9E-4CE0-A990-137DE654B407}"/>
              </c:ext>
            </c:extLst>
          </c:dPt>
          <c:dPt>
            <c:idx val="6"/>
            <c:bubble3D val="0"/>
            <c:spPr>
              <a:solidFill>
                <a:schemeClr val="accent1">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D-5D9E-4CE0-A990-137DE654B407}"/>
              </c:ext>
            </c:extLst>
          </c:dPt>
          <c:dPt>
            <c:idx val="7"/>
            <c:bubble3D val="0"/>
            <c:spPr>
              <a:solidFill>
                <a:schemeClr val="accent2">
                  <a:lumMod val="60000"/>
                </a:schemeClr>
              </a:solidFill>
              <a:ln w="25400">
                <a:solidFill>
                  <a:schemeClr val="lt1"/>
                </a:solidFill>
              </a:ln>
              <a:effectLst/>
              <a:sp3d contourW="25400">
                <a:contourClr>
                  <a:schemeClr val="lt1"/>
                </a:contourClr>
              </a:sp3d>
            </c:spPr>
            <c:extLst>
              <c:ext xmlns:c16="http://schemas.microsoft.com/office/drawing/2014/chart" uri="{C3380CC4-5D6E-409C-BE32-E72D297353CC}">
                <c16:uniqueId val="{0000000F-F9AB-4AD4-9C2B-7A30973B3A6B}"/>
              </c:ext>
            </c:extLst>
          </c:dPt>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Dashboard!$O$6:$O$13</c:f>
              <c:numCache>
                <c:formatCode>General</c:formatCode>
                <c:ptCount val="8"/>
                <c:pt idx="0">
                  <c:v>16</c:v>
                </c:pt>
                <c:pt idx="1">
                  <c:v>20</c:v>
                </c:pt>
                <c:pt idx="2">
                  <c:v>76</c:v>
                </c:pt>
                <c:pt idx="3">
                  <c:v>27</c:v>
                </c:pt>
                <c:pt idx="4">
                  <c:v>27</c:v>
                </c:pt>
                <c:pt idx="5">
                  <c:v>18</c:v>
                </c:pt>
                <c:pt idx="6">
                  <c:v>12</c:v>
                </c:pt>
                <c:pt idx="7">
                  <c:v>12</c:v>
                </c:pt>
              </c:numCache>
            </c:numRef>
          </c:val>
          <c:extLst>
            <c:ext xmlns:c16="http://schemas.microsoft.com/office/drawing/2014/chart" uri="{C3380CC4-5D6E-409C-BE32-E72D297353CC}">
              <c16:uniqueId val="{00000000-641C-4C25-AB91-4B7C0B635C6A}"/>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Status (per technology)</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15"/>
      <c:rotY val="20"/>
      <c:depthPercent val="100"/>
      <c:rAngAx val="1"/>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clustered"/>
        <c:varyColors val="0"/>
        <c:ser>
          <c:idx val="0"/>
          <c:order val="0"/>
          <c:tx>
            <c:strRef>
              <c:f>Dashboard!$J$5</c:f>
              <c:strCache>
                <c:ptCount val="1"/>
                <c:pt idx="0">
                  <c:v>Not verified</c:v>
                </c:pt>
              </c:strCache>
            </c:strRef>
          </c:tx>
          <c:spPr>
            <a:solidFill>
              <a:schemeClr val="accent1"/>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Dashboard!$J$6:$J$13</c:f>
              <c:numCache>
                <c:formatCode>General</c:formatCode>
                <c:ptCount val="8"/>
                <c:pt idx="0">
                  <c:v>16</c:v>
                </c:pt>
                <c:pt idx="1">
                  <c:v>20</c:v>
                </c:pt>
                <c:pt idx="2">
                  <c:v>76</c:v>
                </c:pt>
                <c:pt idx="3">
                  <c:v>27</c:v>
                </c:pt>
                <c:pt idx="4">
                  <c:v>27</c:v>
                </c:pt>
                <c:pt idx="5">
                  <c:v>18</c:v>
                </c:pt>
                <c:pt idx="6">
                  <c:v>12</c:v>
                </c:pt>
                <c:pt idx="7">
                  <c:v>12</c:v>
                </c:pt>
              </c:numCache>
            </c:numRef>
          </c:val>
          <c:extLst>
            <c:ext xmlns:c16="http://schemas.microsoft.com/office/drawing/2014/chart" uri="{C3380CC4-5D6E-409C-BE32-E72D297353CC}">
              <c16:uniqueId val="{00000000-A456-4CA0-9887-8AFA0FCABAF4}"/>
            </c:ext>
          </c:extLst>
        </c:ser>
        <c:ser>
          <c:idx val="1"/>
          <c:order val="1"/>
          <c:tx>
            <c:strRef>
              <c:f>Dashboard!$K$5</c:f>
              <c:strCache>
                <c:ptCount val="1"/>
                <c:pt idx="0">
                  <c:v>Open</c:v>
                </c:pt>
              </c:strCache>
            </c:strRef>
          </c:tx>
          <c:spPr>
            <a:solidFill>
              <a:schemeClr val="accent2"/>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Dashboard!$K$6:$K$13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A456-4CA0-9887-8AFA0FCABAF4}"/>
            </c:ext>
          </c:extLst>
        </c:ser>
        <c:ser>
          <c:idx val="2"/>
          <c:order val="2"/>
          <c:tx>
            <c:strRef>
              <c:f>Dashboard!$L$5</c:f>
              <c:strCache>
                <c:ptCount val="1"/>
                <c:pt idx="0">
                  <c:v>Fulfilled</c:v>
                </c:pt>
              </c:strCache>
            </c:strRef>
          </c:tx>
          <c:spPr>
            <a:solidFill>
              <a:schemeClr val="accent3"/>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Dashboard!$L$6:$L$13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2-A456-4CA0-9887-8AFA0FCABAF4}"/>
            </c:ext>
          </c:extLst>
        </c:ser>
        <c:ser>
          <c:idx val="3"/>
          <c:order val="3"/>
          <c:tx>
            <c:strRef>
              <c:f>Dashboard!$M$5</c:f>
              <c:strCache>
                <c:ptCount val="1"/>
                <c:pt idx="0">
                  <c:v>Not required</c:v>
                </c:pt>
              </c:strCache>
            </c:strRef>
          </c:tx>
          <c:spPr>
            <a:solidFill>
              <a:schemeClr val="accent4"/>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Dashboard!$M$6:$M$13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3-A456-4CA0-9887-8AFA0FCABAF4}"/>
            </c:ext>
          </c:extLst>
        </c:ser>
        <c:ser>
          <c:idx val="4"/>
          <c:order val="4"/>
          <c:tx>
            <c:strRef>
              <c:f>Dashboard!$N$5</c:f>
              <c:strCache>
                <c:ptCount val="1"/>
                <c:pt idx="0">
                  <c:v>N/A</c:v>
                </c:pt>
              </c:strCache>
            </c:strRef>
          </c:tx>
          <c:spPr>
            <a:solidFill>
              <a:schemeClr val="accent5"/>
            </a:solidFill>
            <a:ln>
              <a:noFill/>
            </a:ln>
            <a:effectLst/>
            <a:sp3d/>
          </c:spPr>
          <c:invertIfNegative val="0"/>
          <c:cat>
            <c:strRef>
              <c:f>Dashboard!$I$6:$I$13</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Dashboard!$N$6:$N$13</c:f>
              <c:numCache>
                <c:formatCode>General</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1-16D1-46B6-AF17-3D8245C79C72}"/>
            </c:ext>
          </c:extLst>
        </c:ser>
        <c:dLbls>
          <c:showLegendKey val="0"/>
          <c:showVal val="0"/>
          <c:showCatName val="0"/>
          <c:showSerName val="0"/>
          <c:showPercent val="0"/>
          <c:showBubbleSize val="0"/>
        </c:dLbls>
        <c:gapWidth val="150"/>
        <c:shape val="box"/>
        <c:axId val="614148176"/>
        <c:axId val="614191024"/>
        <c:axId val="0"/>
      </c:bar3DChart>
      <c:catAx>
        <c:axId val="614148176"/>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91024"/>
        <c:crosses val="autoZero"/>
        <c:auto val="1"/>
        <c:lblAlgn val="ctr"/>
        <c:lblOffset val="100"/>
        <c:noMultiLvlLbl val="0"/>
      </c:catAx>
      <c:valAx>
        <c:axId val="614191024"/>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14148176"/>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Design Area Coverage</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radarChart>
        <c:radarStyle val="filled"/>
        <c:varyColors val="0"/>
        <c:ser>
          <c:idx val="0"/>
          <c:order val="0"/>
          <c:tx>
            <c:strRef>
              <c:f>Dashboard!$U$20</c:f>
              <c:strCache>
                <c:ptCount val="1"/>
                <c:pt idx="0">
                  <c:v>Progress</c:v>
                </c:pt>
              </c:strCache>
            </c:strRef>
          </c:tx>
          <c:spPr>
            <a:solidFill>
              <a:schemeClr val="accent1"/>
            </a:solidFill>
            <a:ln>
              <a:solidFill>
                <a:schemeClr val="accent2"/>
              </a:solidFill>
            </a:ln>
            <a:effectLst/>
          </c:spPr>
          <c:cat>
            <c:strRef>
              <c:f>Dashboard!$P$21:$P$28</c:f>
              <c:strCache>
                <c:ptCount val="8"/>
                <c:pt idx="0">
                  <c:v>Azure Billing and Microsoft Entra ID Tenants</c:v>
                </c:pt>
                <c:pt idx="1">
                  <c:v>Identity and Access Management</c:v>
                </c:pt>
                <c:pt idx="2">
                  <c:v>Network Topology and Connectivity</c:v>
                </c:pt>
                <c:pt idx="3">
                  <c:v>Security</c:v>
                </c:pt>
                <c:pt idx="4">
                  <c:v>Management</c:v>
                </c:pt>
                <c:pt idx="5">
                  <c:v>Resource Organization</c:v>
                </c:pt>
                <c:pt idx="6">
                  <c:v>Platform Automation and DevOps</c:v>
                </c:pt>
                <c:pt idx="7">
                  <c:v>Governance</c:v>
                </c:pt>
              </c:strCache>
            </c:strRef>
          </c:cat>
          <c:val>
            <c:numRef>
              <c:f>Dashboard!$U$21:$U$28</c:f>
              <c:numCache>
                <c:formatCode>0%</c:formatCode>
                <c:ptCount val="8"/>
                <c:pt idx="0">
                  <c:v>0</c:v>
                </c:pt>
                <c:pt idx="1">
                  <c:v>0</c:v>
                </c:pt>
                <c:pt idx="2">
                  <c:v>0</c:v>
                </c:pt>
                <c:pt idx="3">
                  <c:v>0</c:v>
                </c:pt>
                <c:pt idx="4">
                  <c:v>0</c:v>
                </c:pt>
                <c:pt idx="5">
                  <c:v>0</c:v>
                </c:pt>
                <c:pt idx="6">
                  <c:v>0</c:v>
                </c:pt>
                <c:pt idx="7">
                  <c:v>0</c:v>
                </c:pt>
              </c:numCache>
            </c:numRef>
          </c:val>
          <c:extLst>
            <c:ext xmlns:c16="http://schemas.microsoft.com/office/drawing/2014/chart" uri="{C3380CC4-5D6E-409C-BE32-E72D297353CC}">
              <c16:uniqueId val="{00000000-4855-4BF4-B45D-2AF39CC8E2E0}"/>
            </c:ext>
          </c:extLst>
        </c:ser>
        <c:dLbls>
          <c:showLegendKey val="0"/>
          <c:showVal val="0"/>
          <c:showCatName val="0"/>
          <c:showSerName val="0"/>
          <c:showPercent val="0"/>
          <c:showBubbleSize val="0"/>
        </c:dLbls>
        <c:axId val="1704771872"/>
        <c:axId val="1704768960"/>
      </c:radarChart>
      <c:catAx>
        <c:axId val="170477187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68960"/>
        <c:crosses val="autoZero"/>
        <c:auto val="1"/>
        <c:lblAlgn val="ctr"/>
        <c:lblOffset val="100"/>
        <c:noMultiLvlLbl val="0"/>
      </c:catAx>
      <c:valAx>
        <c:axId val="1704768960"/>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04771872"/>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r>
              <a:rPr lang="en-US" sz="1100"/>
              <a:t>Status (High)</a:t>
            </a:r>
          </a:p>
        </c:rich>
      </c:tx>
      <c:overlay val="0"/>
      <c:spPr>
        <a:noFill/>
        <a:ln>
          <a:noFill/>
        </a:ln>
        <a:effectLst/>
      </c:spPr>
      <c:txPr>
        <a:bodyPr rot="0" spcFirstLastPara="1" vertOverflow="ellipsis" vert="horz" wrap="square" anchor="ctr" anchorCtr="1"/>
        <a:lstStyle/>
        <a:p>
          <a:pPr>
            <a:defRPr sz="1100" b="0" i="0" u="none" strike="noStrike" kern="1200" spc="0" baseline="0">
              <a:solidFill>
                <a:schemeClr val="tx1">
                  <a:lumMod val="65000"/>
                  <a:lumOff val="35000"/>
                </a:schemeClr>
              </a:solidFill>
              <a:latin typeface="+mn-lt"/>
              <a:ea typeface="+mn-ea"/>
              <a:cs typeface="+mn-cs"/>
            </a:defRPr>
          </a:pPr>
          <a:endParaRPr lang="en-US"/>
        </a:p>
      </c:txPr>
    </c:title>
    <c:autoTitleDeleted val="0"/>
    <c:view3D>
      <c:rotX val="30"/>
      <c:rotY val="0"/>
      <c:depthPercent val="100"/>
      <c:rAngAx val="0"/>
    </c:view3D>
    <c:floor>
      <c:thickness val="0"/>
      <c:spPr>
        <a:noFill/>
        <a:ln>
          <a:noFill/>
        </a:ln>
        <a:effectLst/>
        <a:sp3d/>
      </c:spPr>
    </c:floor>
    <c:sideWall>
      <c:thickness val="0"/>
      <c:spPr>
        <a:noFill/>
        <a:ln>
          <a:noFill/>
        </a:ln>
        <a:effectLst/>
        <a:sp3d/>
      </c:spPr>
    </c:sideWall>
    <c:backWall>
      <c:thickness val="0"/>
      <c:spPr>
        <a:noFill/>
        <a:ln>
          <a:noFill/>
        </a:ln>
        <a:effectLst/>
        <a:sp3d/>
      </c:spPr>
    </c:backWall>
    <c:plotArea>
      <c:layout/>
      <c:pie3DChart>
        <c:varyColors val="1"/>
        <c:ser>
          <c:idx val="0"/>
          <c:order val="0"/>
          <c:dPt>
            <c:idx val="0"/>
            <c:bubble3D val="0"/>
            <c:spPr>
              <a:solidFill>
                <a:schemeClr val="accent1"/>
              </a:solidFill>
              <a:ln w="25400">
                <a:solidFill>
                  <a:schemeClr val="lt1"/>
                </a:solidFill>
              </a:ln>
              <a:effectLst/>
              <a:sp3d contourW="25400">
                <a:contourClr>
                  <a:schemeClr val="lt1"/>
                </a:contourClr>
              </a:sp3d>
            </c:spPr>
            <c:extLst>
              <c:ext xmlns:c16="http://schemas.microsoft.com/office/drawing/2014/chart" uri="{C3380CC4-5D6E-409C-BE32-E72D297353CC}">
                <c16:uniqueId val="{00000001-84B9-4838-8FA6-97094605555C}"/>
              </c:ext>
            </c:extLst>
          </c:dPt>
          <c:dPt>
            <c:idx val="1"/>
            <c:bubble3D val="0"/>
            <c:spPr>
              <a:solidFill>
                <a:schemeClr val="accent2"/>
              </a:solidFill>
              <a:ln w="25400">
                <a:solidFill>
                  <a:schemeClr val="lt1"/>
                </a:solidFill>
              </a:ln>
              <a:effectLst/>
              <a:sp3d contourW="25400">
                <a:contourClr>
                  <a:schemeClr val="lt1"/>
                </a:contourClr>
              </a:sp3d>
            </c:spPr>
            <c:extLst>
              <c:ext xmlns:c16="http://schemas.microsoft.com/office/drawing/2014/chart" uri="{C3380CC4-5D6E-409C-BE32-E72D297353CC}">
                <c16:uniqueId val="{00000003-84B9-4838-8FA6-97094605555C}"/>
              </c:ext>
            </c:extLst>
          </c:dPt>
          <c:dPt>
            <c:idx val="2"/>
            <c:bubble3D val="0"/>
            <c:spPr>
              <a:solidFill>
                <a:schemeClr val="accent3"/>
              </a:solidFill>
              <a:ln w="25400">
                <a:solidFill>
                  <a:schemeClr val="lt1"/>
                </a:solidFill>
              </a:ln>
              <a:effectLst/>
              <a:sp3d contourW="25400">
                <a:contourClr>
                  <a:schemeClr val="lt1"/>
                </a:contourClr>
              </a:sp3d>
            </c:spPr>
            <c:extLst>
              <c:ext xmlns:c16="http://schemas.microsoft.com/office/drawing/2014/chart" uri="{C3380CC4-5D6E-409C-BE32-E72D297353CC}">
                <c16:uniqueId val="{00000005-84B9-4838-8FA6-97094605555C}"/>
              </c:ext>
            </c:extLst>
          </c:dPt>
          <c:dPt>
            <c:idx val="3"/>
            <c:bubble3D val="0"/>
            <c:spPr>
              <a:solidFill>
                <a:schemeClr val="accent4"/>
              </a:solidFill>
              <a:ln w="25400">
                <a:solidFill>
                  <a:schemeClr val="lt1"/>
                </a:solidFill>
              </a:ln>
              <a:effectLst/>
              <a:sp3d contourW="25400">
                <a:contourClr>
                  <a:schemeClr val="lt1"/>
                </a:contourClr>
              </a:sp3d>
            </c:spPr>
            <c:extLst>
              <c:ext xmlns:c16="http://schemas.microsoft.com/office/drawing/2014/chart" uri="{C3380CC4-5D6E-409C-BE32-E72D297353CC}">
                <c16:uniqueId val="{00000007-84B9-4838-8FA6-97094605555C}"/>
              </c:ext>
            </c:extLst>
          </c:dPt>
          <c:dPt>
            <c:idx val="4"/>
            <c:bubble3D val="0"/>
            <c:spPr>
              <a:solidFill>
                <a:schemeClr val="accent5"/>
              </a:solidFill>
              <a:ln w="25400">
                <a:solidFill>
                  <a:schemeClr val="lt1"/>
                </a:solidFill>
              </a:ln>
              <a:effectLst/>
              <a:sp3d contourW="25400">
                <a:contourClr>
                  <a:schemeClr val="lt1"/>
                </a:contourClr>
              </a:sp3d>
            </c:spPr>
            <c:extLst>
              <c:ext xmlns:c16="http://schemas.microsoft.com/office/drawing/2014/chart" uri="{C3380CC4-5D6E-409C-BE32-E72D297353CC}">
                <c16:uniqueId val="{00000009-84B9-4838-8FA6-97094605555C}"/>
              </c:ext>
            </c:extLst>
          </c:dPt>
          <c:cat>
            <c:strRef>
              <c:f>Dashboard!$B$5:$F$5</c:f>
              <c:strCache>
                <c:ptCount val="5"/>
                <c:pt idx="0">
                  <c:v>Not verified</c:v>
                </c:pt>
                <c:pt idx="1">
                  <c:v>Open</c:v>
                </c:pt>
                <c:pt idx="2">
                  <c:v>Fulfilled</c:v>
                </c:pt>
                <c:pt idx="3">
                  <c:v>Not required</c:v>
                </c:pt>
                <c:pt idx="4">
                  <c:v>N/A</c:v>
                </c:pt>
              </c:strCache>
            </c:strRef>
          </c:cat>
          <c:val>
            <c:numRef>
              <c:f>Dashboard!$B$6:$F$6</c:f>
              <c:numCache>
                <c:formatCode>General</c:formatCode>
                <c:ptCount val="5"/>
                <c:pt idx="0">
                  <c:v>53</c:v>
                </c:pt>
                <c:pt idx="1">
                  <c:v>0</c:v>
                </c:pt>
                <c:pt idx="2">
                  <c:v>0</c:v>
                </c:pt>
                <c:pt idx="3">
                  <c:v>0</c:v>
                </c:pt>
                <c:pt idx="4">
                  <c:v>0</c:v>
                </c:pt>
              </c:numCache>
            </c:numRef>
          </c:val>
          <c:extLst>
            <c:ext xmlns:c16="http://schemas.microsoft.com/office/drawing/2014/chart" uri="{C3380CC4-5D6E-409C-BE32-E72D297353CC}">
              <c16:uniqueId val="{0000000A-84B9-4838-8FA6-97094605555C}"/>
            </c:ext>
          </c:extLst>
        </c:ser>
        <c:dLbls>
          <c:showLegendKey val="0"/>
          <c:showVal val="0"/>
          <c:showCatName val="0"/>
          <c:showSerName val="0"/>
          <c:showPercent val="0"/>
          <c:showBubbleSize val="0"/>
          <c:showLeaderLines val="1"/>
        </c:dLbls>
      </c:pie3DChart>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8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31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6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GBox" noThreeD="1"/>
</file>

<file path=xl/drawings/_rels/drawing1.xml.rels><?xml version="1.0" encoding="UTF-8" standalone="yes"?>
<Relationships xmlns="http://schemas.openxmlformats.org/package/2006/relationships"><Relationship Id="rId8" Type="http://schemas.openxmlformats.org/officeDocument/2006/relationships/chart" Target="../charts/chart8.xml"/><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7</xdr:col>
      <xdr:colOff>419100</xdr:colOff>
      <xdr:row>31</xdr:row>
      <xdr:rowOff>180974</xdr:rowOff>
    </xdr:from>
    <xdr:to>
      <xdr:col>12</xdr:col>
      <xdr:colOff>457199</xdr:colOff>
      <xdr:row>45</xdr:row>
      <xdr:rowOff>76199</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238125</xdr:colOff>
      <xdr:row>0</xdr:row>
      <xdr:rowOff>114300</xdr:rowOff>
    </xdr:from>
    <xdr:to>
      <xdr:col>23</xdr:col>
      <xdr:colOff>66675</xdr:colOff>
      <xdr:row>15</xdr:row>
      <xdr:rowOff>142875</xdr:rowOff>
    </xdr:to>
    <xdr:graphicFrame macro="">
      <xdr:nvGraphicFramePr>
        <xdr:cNvPr id="5" name="Chart 4">
          <a:extLst>
            <a:ext uri="{FF2B5EF4-FFF2-40B4-BE49-F238E27FC236}">
              <a16:creationId xmlns:a16="http://schemas.microsoft.com/office/drawing/2014/main" id="{00000000-0008-0000-00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23</xdr:col>
      <xdr:colOff>171450</xdr:colOff>
      <xdr:row>8</xdr:row>
      <xdr:rowOff>19050</xdr:rowOff>
    </xdr:from>
    <xdr:to>
      <xdr:col>28</xdr:col>
      <xdr:colOff>576263</xdr:colOff>
      <xdr:row>17</xdr:row>
      <xdr:rowOff>0</xdr:rowOff>
    </xdr:to>
    <xdr:graphicFrame macro="">
      <xdr:nvGraphicFramePr>
        <xdr:cNvPr id="8" name="Chart 7">
          <a:extLst>
            <a:ext uri="{FF2B5EF4-FFF2-40B4-BE49-F238E27FC236}">
              <a16:creationId xmlns:a16="http://schemas.microsoft.com/office/drawing/2014/main" id="{00000000-0008-0000-00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23</xdr:col>
      <xdr:colOff>166686</xdr:colOff>
      <xdr:row>17</xdr:row>
      <xdr:rowOff>57150</xdr:rowOff>
    </xdr:from>
    <xdr:to>
      <xdr:col>28</xdr:col>
      <xdr:colOff>542925</xdr:colOff>
      <xdr:row>26</xdr:row>
      <xdr:rowOff>100013</xdr:rowOff>
    </xdr:to>
    <xdr:graphicFrame macro="">
      <xdr:nvGraphicFramePr>
        <xdr:cNvPr id="9" name="Chart 8">
          <a:extLst>
            <a:ext uri="{FF2B5EF4-FFF2-40B4-BE49-F238E27FC236}">
              <a16:creationId xmlns:a16="http://schemas.microsoft.com/office/drawing/2014/main" id="{00000000-0008-0000-00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200024</xdr:colOff>
      <xdr:row>31</xdr:row>
      <xdr:rowOff>180975</xdr:rowOff>
    </xdr:from>
    <xdr:to>
      <xdr:col>7</xdr:col>
      <xdr:colOff>285749</xdr:colOff>
      <xdr:row>45</xdr:row>
      <xdr:rowOff>95250</xdr:rowOff>
    </xdr:to>
    <xdr:graphicFrame macro="">
      <xdr:nvGraphicFramePr>
        <xdr:cNvPr id="10" name="Chart 9">
          <a:extLst>
            <a:ext uri="{FF2B5EF4-FFF2-40B4-BE49-F238E27FC236}">
              <a16:creationId xmlns:a16="http://schemas.microsoft.com/office/drawing/2014/main" id="{00000000-0008-0000-00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0</xdr:col>
      <xdr:colOff>238123</xdr:colOff>
      <xdr:row>15</xdr:row>
      <xdr:rowOff>28574</xdr:rowOff>
    </xdr:from>
    <xdr:to>
      <xdr:col>12</xdr:col>
      <xdr:colOff>466724</xdr:colOff>
      <xdr:row>31</xdr:row>
      <xdr:rowOff>47625</xdr:rowOff>
    </xdr:to>
    <xdr:graphicFrame macro="">
      <xdr:nvGraphicFramePr>
        <xdr:cNvPr id="11" name="Chart 10">
          <a:extLst>
            <a:ext uri="{FF2B5EF4-FFF2-40B4-BE49-F238E27FC236}">
              <a16:creationId xmlns:a16="http://schemas.microsoft.com/office/drawing/2014/main" id="{00000000-0008-0000-00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14</xdr:col>
      <xdr:colOff>576263</xdr:colOff>
      <xdr:row>29</xdr:row>
      <xdr:rowOff>150019</xdr:rowOff>
    </xdr:from>
    <xdr:to>
      <xdr:col>22</xdr:col>
      <xdr:colOff>42863</xdr:colOff>
      <xdr:row>44</xdr:row>
      <xdr:rowOff>178594</xdr:rowOff>
    </xdr:to>
    <xdr:graphicFrame macro="">
      <xdr:nvGraphicFramePr>
        <xdr:cNvPr id="14" name="Chart 13">
          <a:extLst>
            <a:ext uri="{FF2B5EF4-FFF2-40B4-BE49-F238E27FC236}">
              <a16:creationId xmlns:a16="http://schemas.microsoft.com/office/drawing/2014/main" id="{00000000-0008-0000-0000-00000E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23</xdr:col>
      <xdr:colOff>166688</xdr:colOff>
      <xdr:row>0</xdr:row>
      <xdr:rowOff>247650</xdr:rowOff>
    </xdr:from>
    <xdr:to>
      <xdr:col>28</xdr:col>
      <xdr:colOff>571501</xdr:colOff>
      <xdr:row>7</xdr:row>
      <xdr:rowOff>95250</xdr:rowOff>
    </xdr:to>
    <xdr:graphicFrame macro="">
      <xdr:nvGraphicFramePr>
        <xdr:cNvPr id="12" name="Chart 11">
          <a:extLst>
            <a:ext uri="{FF2B5EF4-FFF2-40B4-BE49-F238E27FC236}">
              <a16:creationId xmlns:a16="http://schemas.microsoft.com/office/drawing/2014/main" id="{00000000-0008-0000-0000-00000C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editAs="oneCell">
    <xdr:from>
      <xdr:col>1</xdr:col>
      <xdr:colOff>0</xdr:colOff>
      <xdr:row>1</xdr:row>
      <xdr:rowOff>0</xdr:rowOff>
    </xdr:from>
    <xdr:to>
      <xdr:col>1</xdr:col>
      <xdr:colOff>304800</xdr:colOff>
      <xdr:row>1</xdr:row>
      <xdr:rowOff>305488</xdr:rowOff>
    </xdr:to>
    <xdr:sp macro="" textlink="">
      <xdr:nvSpPr>
        <xdr:cNvPr id="3077" name="AutoShape 5" descr="Full-color reverse Microsoft logo">
          <a:extLst>
            <a:ext uri="{FF2B5EF4-FFF2-40B4-BE49-F238E27FC236}">
              <a16:creationId xmlns:a16="http://schemas.microsoft.com/office/drawing/2014/main" id="{00000000-0008-0000-0100-000005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1</xdr:col>
      <xdr:colOff>0</xdr:colOff>
      <xdr:row>1</xdr:row>
      <xdr:rowOff>0</xdr:rowOff>
    </xdr:from>
    <xdr:to>
      <xdr:col>1</xdr:col>
      <xdr:colOff>304800</xdr:colOff>
      <xdr:row>1</xdr:row>
      <xdr:rowOff>305488</xdr:rowOff>
    </xdr:to>
    <xdr:sp macro="" textlink="">
      <xdr:nvSpPr>
        <xdr:cNvPr id="3080" name="AutoShape 8" descr="Full-color reverse Microsoft logo">
          <a:extLst>
            <a:ext uri="{FF2B5EF4-FFF2-40B4-BE49-F238E27FC236}">
              <a16:creationId xmlns:a16="http://schemas.microsoft.com/office/drawing/2014/main" id="{00000000-0008-0000-0100-0000080C0000}"/>
            </a:ext>
          </a:extLst>
        </xdr:cNvPr>
        <xdr:cNvSpPr>
          <a:spLocks noChangeAspect="1" noChangeArrowheads="1"/>
        </xdr:cNvSpPr>
      </xdr:nvSpPr>
      <xdr:spPr bwMode="auto">
        <a:xfrm>
          <a:off x="0" y="214313"/>
          <a:ext cx="304800" cy="305488"/>
        </a:xfrm>
        <a:prstGeom prst="rect">
          <a:avLst/>
        </a:prstGeom>
        <a:noFill/>
        <a:extLst>
          <a:ext uri="{909E8E84-426E-40DD-AFC4-6F175D3DCCD1}">
            <a14:hiddenFill xmlns:a14="http://schemas.microsoft.com/office/drawing/2010/main">
              <a:solidFill>
                <a:srgbClr val="FFFFFF"/>
              </a:solidFill>
            </a14:hiddenFill>
          </a:ext>
        </a:extLst>
      </xdr:spPr>
      <xdr:txBody>
        <a:bodyPr/>
        <a:lstStyle/>
        <a:p>
          <a:endParaRPr lang="en-US"/>
        </a:p>
      </xdr:txBody>
    </xdr:sp>
    <xdr:clientData/>
  </xdr:twoCellAnchor>
  <xdr:twoCellAnchor editAs="oneCell">
    <xdr:from>
      <xdr:col>0</xdr:col>
      <xdr:colOff>0</xdr:colOff>
      <xdr:row>0</xdr:row>
      <xdr:rowOff>0</xdr:rowOff>
    </xdr:from>
    <xdr:to>
      <xdr:col>2</xdr:col>
      <xdr:colOff>1109661</xdr:colOff>
      <xdr:row>2</xdr:row>
      <xdr:rowOff>91603</xdr:rowOff>
    </xdr:to>
    <xdr:pic>
      <xdr:nvPicPr>
        <xdr:cNvPr id="7" name="Picture 6" descr="Azure logo stacked">
          <a:extLst>
            <a:ext uri="{FF2B5EF4-FFF2-40B4-BE49-F238E27FC236}">
              <a16:creationId xmlns:a16="http://schemas.microsoft.com/office/drawing/2014/main" id="{00000000-0008-0000-0100-000007000000}"/>
            </a:ext>
          </a:extLst>
        </xdr:cNvPr>
        <xdr:cNvPicPr>
          <a:picLocks noChangeAspect="1" noChangeArrowheads="1"/>
        </xdr:cNvPicPr>
      </xdr:nvPicPr>
      <xdr:blipFill rotWithShape="1">
        <a:blip xmlns:r="http://schemas.openxmlformats.org/officeDocument/2006/relationships" r:embed="rId1">
          <a:extLst>
            <a:ext uri="{28A0092B-C50C-407E-A947-70E740481C1C}">
              <a14:useLocalDpi xmlns:a14="http://schemas.microsoft.com/office/drawing/2010/main" val="0"/>
            </a:ext>
          </a:extLst>
        </a:blip>
        <a:srcRect t="15928" r="6486" b="20739"/>
        <a:stretch/>
      </xdr:blipFill>
      <xdr:spPr bwMode="auto">
        <a:xfrm>
          <a:off x="0" y="0"/>
          <a:ext cx="3088480" cy="1015528"/>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8</xdr:col>
          <xdr:colOff>4905375</xdr:colOff>
          <xdr:row>1</xdr:row>
          <xdr:rowOff>533400</xdr:rowOff>
        </xdr:from>
        <xdr:to>
          <xdr:col>11</xdr:col>
          <xdr:colOff>85725</xdr:colOff>
          <xdr:row>2</xdr:row>
          <xdr:rowOff>104775</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Export checklist to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4905375</xdr:colOff>
          <xdr:row>1</xdr:row>
          <xdr:rowOff>200025</xdr:rowOff>
        </xdr:from>
        <xdr:to>
          <xdr:col>11</xdr:col>
          <xdr:colOff>0</xdr:colOff>
          <xdr:row>1</xdr:row>
          <xdr:rowOff>476250</xdr:rowOff>
        </xdr:to>
        <xdr:sp macro="" textlink="">
          <xdr:nvSpPr>
            <xdr:cNvPr id="1027" name="Button 3" hidden="1">
              <a:extLst>
                <a:ext uri="{63B3BB69-23CF-44E3-9099-C40C66FF867C}">
                  <a14:compatExt spid="_x0000_s1027"/>
                </a:ext>
                <a:ext uri="{FF2B5EF4-FFF2-40B4-BE49-F238E27FC236}">
                  <a16:creationId xmlns:a16="http://schemas.microsoft.com/office/drawing/2014/main" id="{00000000-0008-0000-0100-00000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checklist from JSON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5</xdr:col>
          <xdr:colOff>76200</xdr:colOff>
          <xdr:row>1</xdr:row>
          <xdr:rowOff>161925</xdr:rowOff>
        </xdr:from>
        <xdr:to>
          <xdr:col>5</xdr:col>
          <xdr:colOff>2019300</xdr:colOff>
          <xdr:row>1</xdr:row>
          <xdr:rowOff>476250</xdr:rowOff>
        </xdr:to>
        <xdr:sp macro="" textlink="">
          <xdr:nvSpPr>
            <xdr:cNvPr id="1028" name="Button 4" hidden="1">
              <a:extLst>
                <a:ext uri="{63B3BB69-23CF-44E3-9099-C40C66FF867C}">
                  <a14:compatExt spid="_x0000_s1028"/>
                </a:ext>
                <a:ext uri="{FF2B5EF4-FFF2-40B4-BE49-F238E27FC236}">
                  <a16:creationId xmlns:a16="http://schemas.microsoft.com/office/drawing/2014/main" id="{00000000-0008-0000-0100-000004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latest checklist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4524375</xdr:colOff>
          <xdr:row>1</xdr:row>
          <xdr:rowOff>142875</xdr:rowOff>
        </xdr:from>
        <xdr:to>
          <xdr:col>11</xdr:col>
          <xdr:colOff>333375</xdr:colOff>
          <xdr:row>4</xdr:row>
          <xdr:rowOff>66675</xdr:rowOff>
        </xdr:to>
        <xdr:sp macro="" textlink="">
          <xdr:nvSpPr>
            <xdr:cNvPr id="1029" name="Group Box 5" hidden="1">
              <a:extLst>
                <a:ext uri="{63B3BB69-23CF-44E3-9099-C40C66FF867C}">
                  <a14:compatExt spid="_x0000_s1029"/>
                </a:ext>
                <a:ext uri="{FF2B5EF4-FFF2-40B4-BE49-F238E27FC236}">
                  <a16:creationId xmlns:a16="http://schemas.microsoft.com/office/drawing/2014/main" id="{00000000-0008-0000-0100-0000050400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18288" rIns="0" bIns="0" anchor="t" upright="1"/>
            <a:lstStyle/>
            <a:p>
              <a:pPr algn="l" rtl="0">
                <a:defRPr sz="1000"/>
              </a:pPr>
              <a:r>
                <a:rPr lang="en-US" sz="800" b="0" i="0" u="none" strike="noStrike" baseline="0">
                  <a:solidFill>
                    <a:srgbClr val="000000"/>
                  </a:solidFill>
                  <a:latin typeface="Segoe UI"/>
                  <a:cs typeface="Segoe UI"/>
                </a:rPr>
                <a:t>Advanced</a:t>
              </a:r>
            </a:p>
          </xdr:txBody>
        </xdr:sp>
        <xdr:clientData/>
      </xdr:twoCellAnchor>
    </mc:Choice>
    <mc:Fallback/>
  </mc:AlternateContent>
  <mc:AlternateContent xmlns:mc="http://schemas.openxmlformats.org/markup-compatibility/2006">
    <mc:Choice xmlns:a14="http://schemas.microsoft.com/office/drawing/2010/main" Requires="a14">
      <xdr:twoCellAnchor>
        <xdr:from>
          <xdr:col>8</xdr:col>
          <xdr:colOff>4905375</xdr:colOff>
          <xdr:row>2</xdr:row>
          <xdr:rowOff>161925</xdr:rowOff>
        </xdr:from>
        <xdr:to>
          <xdr:col>11</xdr:col>
          <xdr:colOff>95250</xdr:colOff>
          <xdr:row>3</xdr:row>
          <xdr:rowOff>200025</xdr:rowOff>
        </xdr:to>
        <xdr:sp macro="" textlink="">
          <xdr:nvSpPr>
            <xdr:cNvPr id="1043" name="Button 19" hidden="1">
              <a:extLst>
                <a:ext uri="{63B3BB69-23CF-44E3-9099-C40C66FF867C}">
                  <a14:compatExt spid="_x0000_s1043"/>
                </a:ext>
                <a:ext uri="{FF2B5EF4-FFF2-40B4-BE49-F238E27FC236}">
                  <a16:creationId xmlns:a16="http://schemas.microsoft.com/office/drawing/2014/main" id="{00000000-0008-0000-0100-000013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ea typeface="Calibri"/>
                  <a:cs typeface="Calibri"/>
                </a:rPr>
                <a:t>Import Graph results</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17" Type="http://schemas.openxmlformats.org/officeDocument/2006/relationships/hyperlink" Target="https://learn.microsoft.com/azure/expressroute/expressroute-howto-add-gateway-resource-manager" TargetMode="External"/><Relationship Id="rId299" Type="http://schemas.openxmlformats.org/officeDocument/2006/relationships/hyperlink" Target="https://learn.microsoft.com/learn/modules/design-implement-azure-expressroute/" TargetMode="External"/><Relationship Id="rId21" Type="http://schemas.openxmlformats.org/officeDocument/2006/relationships/hyperlink" Target="https://learn.microsoft.com/azure/role-based-access-control/overview" TargetMode="External"/><Relationship Id="rId63" Type="http://schemas.openxmlformats.org/officeDocument/2006/relationships/hyperlink" Target="https://learn.microsoft.com/azure/virtual-network/virtual-networks-faq" TargetMode="External"/><Relationship Id="rId159" Type="http://schemas.openxmlformats.org/officeDocument/2006/relationships/hyperlink" Target="https://learn.microsoft.com/azure/service-health/alerts-activity-log-service-notifications-portal" TargetMode="External"/><Relationship Id="rId324" Type="http://schemas.openxmlformats.org/officeDocument/2006/relationships/ctrlProp" Target="../ctrlProps/ctrlProp4.xml"/><Relationship Id="rId170" Type="http://schemas.openxmlformats.org/officeDocument/2006/relationships/hyperlink" Target="https://learn.microsoft.com/azure/architecture/framework/resiliency/backup-and-recovery" TargetMode="External"/><Relationship Id="rId226" Type="http://schemas.openxmlformats.org/officeDocument/2006/relationships/hyperlink" Target="https://learn.microsoft.com/learn/modules/introduction-azure-virtual-wan/" TargetMode="External"/><Relationship Id="rId268" Type="http://schemas.openxmlformats.org/officeDocument/2006/relationships/hyperlink" Target="https://learn.microsoft.com/azure/storage/blobs/data-protection-overview" TargetMode="External"/><Relationship Id="rId32" Type="http://schemas.openxmlformats.org/officeDocument/2006/relationships/hyperlink" Target="https://learn.microsoft.com/azure/active-directory/app-proxy/application-proxy" TargetMode="External"/><Relationship Id="rId74" Type="http://schemas.openxmlformats.org/officeDocument/2006/relationships/hyperlink" Target="https://learn.microsoft.com/azure/networking/" TargetMode="External"/><Relationship Id="rId128" Type="http://schemas.openxmlformats.org/officeDocument/2006/relationships/hyperlink" Target="https://learn.microsoft.com/azure/virtual-wan/virtual-wan-about" TargetMode="External"/><Relationship Id="rId5" Type="http://schemas.openxmlformats.org/officeDocument/2006/relationships/hyperlink" Target="https://learn.microsoft.com/azure/cloud-adoption-framework/ready/landing-zone/design-area/azure-billing-microsoft-customer-agreement" TargetMode="External"/><Relationship Id="rId181" Type="http://schemas.openxmlformats.org/officeDocument/2006/relationships/hyperlink" Target="https://learn.microsoft.com/azure/key-vault/general/best-practices" TargetMode="External"/><Relationship Id="rId237" Type="http://schemas.openxmlformats.org/officeDocument/2006/relationships/hyperlink" Target="https://learn.microsoft.com/azure/cloud-adoption-framework/ready/considerations/infrastructure-as-code" TargetMode="External"/><Relationship Id="rId279" Type="http://schemas.openxmlformats.org/officeDocument/2006/relationships/hyperlink" Target="https://learn.microsoft.com/learn/modules/explore-basic-services-identity-types/" TargetMode="External"/><Relationship Id="rId43" Type="http://schemas.openxmlformats.org/officeDocument/2006/relationships/hyperlink" Target="https://learn.microsoft.com/azure/governance/management-groups/overview" TargetMode="External"/><Relationship Id="rId139" Type="http://schemas.openxmlformats.org/officeDocument/2006/relationships/hyperlink" Target="https://learn.microsoft.com/security/benchmark/azure/mcsb-asset-management" TargetMode="External"/><Relationship Id="rId290" Type="http://schemas.openxmlformats.org/officeDocument/2006/relationships/hyperlink" Target="https://learn.microsoft.com/learn/paths/azure-administrator-manage-virtual-networks/" TargetMode="External"/><Relationship Id="rId304" Type="http://schemas.openxmlformats.org/officeDocument/2006/relationships/hyperlink" Target="https://learn.microsoft.com/learn/paths/secure-networking-infrastructure/" TargetMode="External"/><Relationship Id="rId85" Type="http://schemas.openxmlformats.org/officeDocument/2006/relationships/hyperlink" Target="https://learn.microsoft.com/azure/cloud-adoption-framework/ready/azure-best-practices/plan-for-ip-addressing" TargetMode="External"/><Relationship Id="rId150" Type="http://schemas.openxmlformats.org/officeDocument/2006/relationships/hyperlink" Target="https://learn.microsoft.com/azure/storage/common/storage-redundancy" TargetMode="External"/><Relationship Id="rId192" Type="http://schemas.openxmlformats.org/officeDocument/2006/relationships/hyperlink" Target="https://learn.microsoft.com/azure/defender-for-cloud/plan-defender-for-servers-select-plan" TargetMode="External"/><Relationship Id="rId206" Type="http://schemas.openxmlformats.org/officeDocument/2006/relationships/hyperlink" Target="https://learn.microsoft.com/learn/paths/implement-applications-external-access-azure-ad/" TargetMode="External"/><Relationship Id="rId248" Type="http://schemas.openxmlformats.org/officeDocument/2006/relationships/hyperlink" Target="https://learn.microsoft.com/security/benchmark/azure/security-control-incident-response" TargetMode="External"/><Relationship Id="rId12" Type="http://schemas.openxmlformats.org/officeDocument/2006/relationships/hyperlink" Target="https://learn.microsoft.com/azure/cloud-adoption-framework/ready/landing-zone/design-area/azure-billing-microsoft-customer-agreement" TargetMode="External"/><Relationship Id="rId108" Type="http://schemas.openxmlformats.org/officeDocument/2006/relationships/hyperlink" Target="https://learn.microsoft.com/azure/app-service/networking-features" TargetMode="External"/><Relationship Id="rId315" Type="http://schemas.openxmlformats.org/officeDocument/2006/relationships/hyperlink" Target="https://learn.microsoft.com/azure/azure-monitor/logs/design-logs-deployment" TargetMode="External"/><Relationship Id="rId54" Type="http://schemas.openxmlformats.org/officeDocument/2006/relationships/hyperlink" Target="https://learn.microsoft.com/azure/cloud-adoption-framework/ready/landing-zone/design-area/resource-org-management-groups" TargetMode="External"/><Relationship Id="rId96" Type="http://schemas.openxmlformats.org/officeDocument/2006/relationships/hyperlink" Target="https://learn.microsoft.com/azure/web-application-firewall/afds/afds-overview" TargetMode="External"/><Relationship Id="rId161" Type="http://schemas.openxmlformats.org/officeDocument/2006/relationships/hyperlink" Target="https://learn.microsoft.com/azure/sentinel/quickstart-onboard" TargetMode="External"/><Relationship Id="rId217" Type="http://schemas.openxmlformats.org/officeDocument/2006/relationships/hyperlink" Target="https://learn.microsoft.com/learn/paths/secure-networking-infrastructure/" TargetMode="External"/><Relationship Id="rId259" Type="http://schemas.openxmlformats.org/officeDocument/2006/relationships/hyperlink" Target="https://learn.microsoft.com/azure/security/fundamentals/encryption-atrest" TargetMode="External"/><Relationship Id="rId23" Type="http://schemas.openxmlformats.org/officeDocument/2006/relationships/hyperlink" Target="https://learn.microsoft.com/azure/active-directory/authentication/concept-mfa-howitworks" TargetMode="External"/><Relationship Id="rId119" Type="http://schemas.openxmlformats.org/officeDocument/2006/relationships/hyperlink" Target="https://learn.microsoft.com/azure/cloud-adoption-framework/ready/azure-best-practices/plan-for-landing-zone-network-segmentation" TargetMode="External"/><Relationship Id="rId270" Type="http://schemas.openxmlformats.org/officeDocument/2006/relationships/hyperlink" Target="https://learn.microsoft.com/azure/cloud-adoption-framework/ready/landing-zone/design-area/service-enablement-framework" TargetMode="External"/><Relationship Id="rId65" Type="http://schemas.openxmlformats.org/officeDocument/2006/relationships/hyperlink" Target="https://learn.microsoft.com/azure/azure-resource-manager/management/azure-subscription-service-limits?toc=/azure/virtual-network/toc.json" TargetMode="External"/><Relationship Id="rId130" Type="http://schemas.openxmlformats.org/officeDocument/2006/relationships/hyperlink" Target="https://learn.microsoft.com/azure/virtual-wan/azure-monitor-insights" TargetMode="External"/><Relationship Id="rId172" Type="http://schemas.openxmlformats.org/officeDocument/2006/relationships/hyperlink" Target="https://learn.microsoft.com/azure/reliability/availability-zones-overview" TargetMode="External"/><Relationship Id="rId228" Type="http://schemas.openxmlformats.org/officeDocument/2006/relationships/hyperlink" Target="https://learn.microsoft.com/azure/governance/policy/overview" TargetMode="External"/><Relationship Id="rId281" Type="http://schemas.openxmlformats.org/officeDocument/2006/relationships/hyperlink" Target="https://learn.microsoft.com/learn/modules/azure-active-directory/" TargetMode="External"/><Relationship Id="rId34" Type="http://schemas.openxmlformats.org/officeDocument/2006/relationships/hyperlink" Target="https://learn.microsoft.com/azure/cloud-adoption-framework/ready/landing-zone/design-area/identity-access-landing-zones" TargetMode="External"/><Relationship Id="rId76" Type="http://schemas.openxmlformats.org/officeDocument/2006/relationships/hyperlink" Target="https://learn.microsoft.com/azure/vpn-gateway/create-zone-redundant-vnet-gateway" TargetMode="External"/><Relationship Id="rId141" Type="http://schemas.openxmlformats.org/officeDocument/2006/relationships/hyperlink" Target="https://learn.microsoft.com/azure/governance/policy/overview" TargetMode="External"/><Relationship Id="rId7" Type="http://schemas.openxmlformats.org/officeDocument/2006/relationships/hyperlink" Target="https://learn.microsoft.com/azure/cost-management-billing/manage/direct-ea-administration" TargetMode="External"/><Relationship Id="rId162" Type="http://schemas.openxmlformats.org/officeDocument/2006/relationships/hyperlink" Target="https://learn.microsoft.com/azure/cloud-adoption-framework/ready/azure-setup-guide/monitoring-reporting?tabs=AzureMonitor" TargetMode="External"/><Relationship Id="rId183" Type="http://schemas.openxmlformats.org/officeDocument/2006/relationships/hyperlink" Target="https://learn.microsoft.com/azure/key-vault/general/best-practices" TargetMode="External"/><Relationship Id="rId218" Type="http://schemas.openxmlformats.org/officeDocument/2006/relationships/hyperlink" Target="https://learn.microsoft.com/learn/paths/architect-network-infrastructure/" TargetMode="External"/><Relationship Id="rId239" Type="http://schemas.openxmlformats.org/officeDocument/2006/relationships/hyperlink" Target="https://learn.microsoft.com/azure/cloud-adoption-framework/ready/considerations/development-strategy-development-lifecycle" TargetMode="External"/><Relationship Id="rId250" Type="http://schemas.openxmlformats.org/officeDocument/2006/relationships/hyperlink" Target="https://learn.microsoft.com/azure/key-vault/general/overview" TargetMode="External"/><Relationship Id="rId271" Type="http://schemas.openxmlformats.org/officeDocument/2006/relationships/hyperlink" Target="https://learn.microsoft.com/azure/cloud-adoption-framework/ready/landing-zone/design-area/service-enablement-framework" TargetMode="External"/><Relationship Id="rId292" Type="http://schemas.openxmlformats.org/officeDocument/2006/relationships/hyperlink" Target="https://learn.microsoft.com/learn/modules/design-implement-azure-expressroute/" TargetMode="External"/><Relationship Id="rId306" Type="http://schemas.openxmlformats.org/officeDocument/2006/relationships/hyperlink" Target="https://learn.microsoft.com/learn/paths/secure-application-delivery/" TargetMode="External"/><Relationship Id="rId24" Type="http://schemas.openxmlformats.org/officeDocument/2006/relationships/hyperlink" Target="https://learn.microsoft.com/azure/cloud-adoption-framework/manage/centralize-operations" TargetMode="External"/><Relationship Id="rId45" Type="http://schemas.openxmlformats.org/officeDocument/2006/relationships/hyperlink" Target="https://learn.microsoft.com/azure/azure-resource-manager/management/azure-subscription-service-limits" TargetMode="External"/><Relationship Id="rId66" Type="http://schemas.openxmlformats.org/officeDocument/2006/relationships/hyperlink" Target="https://learn.microsoft.com/azure/azure-resource-manager/management/azure-subscription-service-limits?toc=/azure/virtual-network/toc.json" TargetMode="External"/><Relationship Id="rId87" Type="http://schemas.openxmlformats.org/officeDocument/2006/relationships/hyperlink" Target="https://learn.microsoft.com/azure/virtual-network/virtual-networks-name-resolution-for-vms-and-role-instances" TargetMode="External"/><Relationship Id="rId110" Type="http://schemas.openxmlformats.org/officeDocument/2006/relationships/hyperlink" Target="https://learn.microsoft.com/learn/paths/implement-network-security/" TargetMode="External"/><Relationship Id="rId131" Type="http://schemas.openxmlformats.org/officeDocument/2006/relationships/hyperlink" Target="https://learn.microsoft.com/azure/virtual-wan/virtual-wan-faq" TargetMode="External"/><Relationship Id="rId152" Type="http://schemas.openxmlformats.org/officeDocument/2006/relationships/hyperlink" Target="https://learn.microsoft.com/azure/azure-monitor/logs/data-retention-archive?tabs=portal-1%2Cportal-2" TargetMode="External"/><Relationship Id="rId173" Type="http://schemas.openxmlformats.org/officeDocument/2006/relationships/hyperlink" Target="https://learn.microsoft.com/azure/virtual-machines/availability" TargetMode="External"/><Relationship Id="rId194" Type="http://schemas.openxmlformats.org/officeDocument/2006/relationships/hyperlink" Target="https://learn.microsoft.com/mem/configmgr/protect/deploy-use/endpoint-protection" TargetMode="External"/><Relationship Id="rId208" Type="http://schemas.openxmlformats.org/officeDocument/2006/relationships/hyperlink" Target="https://learn.microsoft.com/azure/architecture/example-scenario/identity/adds-extend-domain" TargetMode="External"/><Relationship Id="rId229" Type="http://schemas.openxmlformats.org/officeDocument/2006/relationships/hyperlink" Target="https://learn.microsoft.com/learn/paths/secure-your-cloud-data/" TargetMode="External"/><Relationship Id="rId240" Type="http://schemas.openxmlformats.org/officeDocument/2006/relationships/hyperlink" Target="https://learn.microsoft.com/azure/cloud-adoption-framework/ready/landing-zone/design-area/subscription-vending" TargetMode="External"/><Relationship Id="rId261" Type="http://schemas.openxmlformats.org/officeDocument/2006/relationships/hyperlink" Target="https://learn.microsoft.com/azure/key-vault/general/best-practices" TargetMode="External"/><Relationship Id="rId14" Type="http://schemas.openxmlformats.org/officeDocument/2006/relationships/hyperlink" Target="https://learn.microsoft.com/azure/cloud-adoption-framework/ready/landing-zone/design-area/azure-billing-microsoft-customer-agreement" TargetMode="External"/><Relationship Id="rId35" Type="http://schemas.openxmlformats.org/officeDocument/2006/relationships/hyperlink" Target="https://learn.microsoft.com/azure/cloud-adoption-framework/ready/landing-zone/design-area/identity-access-landing-zones" TargetMode="External"/><Relationship Id="rId56" Type="http://schemas.openxmlformats.org/officeDocument/2006/relationships/hyperlink" Target="https://learn.microsoft.com/azure/virtual-network/network-security-group-how-it-works" TargetMode="External"/><Relationship Id="rId77" Type="http://schemas.openxmlformats.org/officeDocument/2006/relationships/hyperlink" Target="https://learn.microsoft.com/azure/expressroute/expressroute-erdirect-about" TargetMode="External"/><Relationship Id="rId100" Type="http://schemas.openxmlformats.org/officeDocument/2006/relationships/hyperlink" Target="https://learn.microsoft.com/azure/firewall/fqdn-filtering-network-rules" TargetMode="External"/><Relationship Id="rId282" Type="http://schemas.openxmlformats.org/officeDocument/2006/relationships/hyperlink" Target="https://learn.microsoft.com/learn/paths/implement-windows-server-iaas-virtual-machine-identity/" TargetMode="External"/><Relationship Id="rId317" Type="http://schemas.openxmlformats.org/officeDocument/2006/relationships/hyperlink" Target="https://learn.microsoft.com/azure/azure-monitor/logs/design-logs-deployment" TargetMode="External"/><Relationship Id="rId8" Type="http://schemas.openxmlformats.org/officeDocument/2006/relationships/hyperlink" Target="https://learn.microsoft.com/azure/cloud-adoption-framework/ready/landing-zone/design-area/azure-billing-enterprise-agreement" TargetMode="External"/><Relationship Id="rId98" Type="http://schemas.openxmlformats.org/officeDocument/2006/relationships/hyperlink" Target="https://learn.microsoft.com/azure/web-application-firewall/ag/ag-overview" TargetMode="External"/><Relationship Id="rId121" Type="http://schemas.openxmlformats.org/officeDocument/2006/relationships/hyperlink" Target="https://learn.microsoft.com/learn/paths/implement-network-security/" TargetMode="External"/><Relationship Id="rId142" Type="http://schemas.openxmlformats.org/officeDocument/2006/relationships/hyperlink" Target="https://learn.microsoft.com/azure/governance/policy/overview" TargetMode="External"/><Relationship Id="rId163" Type="http://schemas.openxmlformats.org/officeDocument/2006/relationships/hyperlink" Target="https://learn.microsoft.com/azure/azure-monitor/agents/diagnostics-extension-overview" TargetMode="External"/><Relationship Id="rId184" Type="http://schemas.openxmlformats.org/officeDocument/2006/relationships/hyperlink" Target="https://learn.microsoft.com/azure/key-vault/general/monitor-key-vault" TargetMode="External"/><Relationship Id="rId219" Type="http://schemas.openxmlformats.org/officeDocument/2006/relationships/hyperlink" Target="https://learn.microsoft.com/learn/modules/design-implement-azure-expressroute/" TargetMode="External"/><Relationship Id="rId230" Type="http://schemas.openxmlformats.org/officeDocument/2006/relationships/hyperlink" Target="https://learn.microsoft.com/learn/paths/architect-infrastructure-operations/" TargetMode="External"/><Relationship Id="rId251" Type="http://schemas.openxmlformats.org/officeDocument/2006/relationships/hyperlink" Target="https://learn.microsoft.com/azure/key-vault/general/overview-throttling" TargetMode="External"/><Relationship Id="rId25" Type="http://schemas.openxmlformats.org/officeDocument/2006/relationships/hyperlink" Target="https://learn.microsoft.com/azure/active-directory/privileged-identity-management/pim-configure" TargetMode="External"/><Relationship Id="rId46" Type="http://schemas.openxmlformats.org/officeDocument/2006/relationships/hyperlink" Target="https://learn.microsoft.com/azure/cost-management-billing/reservations/save-compute-costs-reservations" TargetMode="External"/><Relationship Id="rId67" Type="http://schemas.openxmlformats.org/officeDocument/2006/relationships/hyperlink" Target="https://learn.microsoft.com/azure/virtual-network/virtual-network-manage-peering" TargetMode="External"/><Relationship Id="rId272" Type="http://schemas.openxmlformats.org/officeDocument/2006/relationships/hyperlink" Target="https://learn.microsoft.com/azure/active-directory/managed-identities-azure-resources/overview" TargetMode="External"/><Relationship Id="rId293" Type="http://schemas.openxmlformats.org/officeDocument/2006/relationships/hyperlink" Target="https://learn.microsoft.com/learn/modules/design-implement-azure-expressroute/" TargetMode="External"/><Relationship Id="rId307" Type="http://schemas.openxmlformats.org/officeDocument/2006/relationships/hyperlink" Target="https://learn.microsoft.com/learn/paths/secure-application-delivery/" TargetMode="External"/><Relationship Id="rId88" Type="http://schemas.openxmlformats.org/officeDocument/2006/relationships/hyperlink" Target="https://learn.microsoft.com/azure/dns/dns-private-resolver-overview" TargetMode="External"/><Relationship Id="rId111" Type="http://schemas.openxmlformats.org/officeDocument/2006/relationships/hyperlink" Target="https://learn.microsoft.com/learn/paths/architect-network-infrastructure/" TargetMode="External"/><Relationship Id="rId132" Type="http://schemas.openxmlformats.org/officeDocument/2006/relationships/hyperlink" Target="https://learn.microsoft.com/azure/virtual-wan/about-virtual-hub-routing-preference" TargetMode="External"/><Relationship Id="rId153" Type="http://schemas.openxmlformats.org/officeDocument/2006/relationships/hyperlink" Target="https://learn.microsoft.com/en-us/azure/cloud-adoption-framework/govern/policy-compliance/regulatory-compliance" TargetMode="External"/><Relationship Id="rId174" Type="http://schemas.openxmlformats.org/officeDocument/2006/relationships/hyperlink" Target="https://learn.microsoft.com/azure/load-balancer/load-balancer-overview" TargetMode="External"/><Relationship Id="rId195" Type="http://schemas.openxmlformats.org/officeDocument/2006/relationships/hyperlink" Target="https://learn.microsoft.com/azure/security-center/" TargetMode="External"/><Relationship Id="rId209" Type="http://schemas.openxmlformats.org/officeDocument/2006/relationships/hyperlink" Target="https://learn.microsoft.com/azure/role-based-access-control/overview" TargetMode="External"/><Relationship Id="rId220" Type="http://schemas.openxmlformats.org/officeDocument/2006/relationships/hyperlink" Target="https://learn.microsoft.com/learn/modules/design-implement-azure-expressroute/" TargetMode="External"/><Relationship Id="rId241" Type="http://schemas.openxmlformats.org/officeDocument/2006/relationships/hyperlink" Target="https://learn.microsoft.com/azure/cloud-adoption-framework/ready/considerations/infrastructure-as-code" TargetMode="External"/><Relationship Id="rId15" Type="http://schemas.openxmlformats.org/officeDocument/2006/relationships/hyperlink" Target="https://learn.microsoft.com/azure/cloud-adoption-framework/ready/landing-zone/design-area/azure-billing-microsoft-customer-agreement" TargetMode="External"/><Relationship Id="rId36" Type="http://schemas.openxmlformats.org/officeDocument/2006/relationships/hyperlink" Target="https://learn.microsoft.com/azure/active-directory/privileged-identity-management/pim-create-roles-and-resource-roles-review" TargetMode="External"/><Relationship Id="rId57" Type="http://schemas.openxmlformats.org/officeDocument/2006/relationships/hyperlink" Target="https://learn.microsoft.com/azure/expressroute/expressroute-erdirect-about" TargetMode="External"/><Relationship Id="rId262" Type="http://schemas.openxmlformats.org/officeDocument/2006/relationships/hyperlink" Target="https://learn.microsoft.com/azure/active-directory/reports-monitoring/overview-reports" TargetMode="External"/><Relationship Id="rId283" Type="http://schemas.openxmlformats.org/officeDocument/2006/relationships/hyperlink" Target="https://learn.microsoft.com/learn/paths/monitor-usage-performance-availability-resources-azure-monitor/" TargetMode="External"/><Relationship Id="rId318" Type="http://schemas.openxmlformats.org/officeDocument/2006/relationships/printerSettings" Target="../printerSettings/printerSettings2.bin"/><Relationship Id="rId78" Type="http://schemas.openxmlformats.org/officeDocument/2006/relationships/hyperlink" Target="https://learn.microsoft.com/azure/architecture/framework/services/networking/expressroute/reliability" TargetMode="External"/><Relationship Id="rId99" Type="http://schemas.openxmlformats.org/officeDocument/2006/relationships/hyperlink" Target="https://learn.microsoft.com/azure/ddos-protection/ddos-protection-reference-architectures" TargetMode="External"/><Relationship Id="rId101" Type="http://schemas.openxmlformats.org/officeDocument/2006/relationships/hyperlink" Target="https://learn.microsoft.com/azure/firewall/premium-features" TargetMode="External"/><Relationship Id="rId122" Type="http://schemas.openxmlformats.org/officeDocument/2006/relationships/hyperlink" Target="https://learn.microsoft.com/azure/virtual-network/network-security-group-how-it-works" TargetMode="External"/><Relationship Id="rId143" Type="http://schemas.openxmlformats.org/officeDocument/2006/relationships/hyperlink" Target="https://azure.microsoft.com/resources/achieving-compliant-data-residency-and-security-with-azure/" TargetMode="External"/><Relationship Id="rId164" Type="http://schemas.openxmlformats.org/officeDocument/2006/relationships/hyperlink" Target="https://learn.microsoft.com/azure/azure-monitor/alerts/alerts-overview" TargetMode="External"/><Relationship Id="rId185" Type="http://schemas.openxmlformats.org/officeDocument/2006/relationships/hyperlink" Target="https://learn.microsoft.com/azure/key-vault/general/best-practices" TargetMode="External"/><Relationship Id="rId9" Type="http://schemas.openxmlformats.org/officeDocument/2006/relationships/hyperlink" Target="https://learn.microsoft.com/azure/cloud-adoption-framework/ready/landing-zone/design-area/azure-billing-enterprise-agreement" TargetMode="External"/><Relationship Id="rId210" Type="http://schemas.openxmlformats.org/officeDocument/2006/relationships/hyperlink" Target="https://learn.microsoft.com/learn/modules/azure-architecture-fundamentals/" TargetMode="External"/><Relationship Id="rId26" Type="http://schemas.openxmlformats.org/officeDocument/2006/relationships/hyperlink" Target="https://learn.microsoft.com/azure/active-directory/roles/security-planning" TargetMode="External"/><Relationship Id="rId231" Type="http://schemas.openxmlformats.org/officeDocument/2006/relationships/hyperlink" Target="https://learn.microsoft.com/en-us/azure/governance/policy/concepts/effects" TargetMode="External"/><Relationship Id="rId252" Type="http://schemas.openxmlformats.org/officeDocument/2006/relationships/hyperlink" Target="https://learn.microsoft.com/azure/key-vault/general/best-practices" TargetMode="External"/><Relationship Id="rId273" Type="http://schemas.openxmlformats.org/officeDocument/2006/relationships/hyperlink" Target="https://learn.microsoft.com/learn/modules/azure-ad-privileged-identity-management/" TargetMode="External"/><Relationship Id="rId294" Type="http://schemas.openxmlformats.org/officeDocument/2006/relationships/hyperlink" Target="https://learn.microsoft.com/learn/modules/design-implement-azure-expressroute/" TargetMode="External"/><Relationship Id="rId308" Type="http://schemas.openxmlformats.org/officeDocument/2006/relationships/hyperlink" Target="https://learn.microsoft.com/learn/paths/architect-network-infrastructure/" TargetMode="External"/><Relationship Id="rId47" Type="http://schemas.openxmlformats.org/officeDocument/2006/relationships/hyperlink" Target="https://learn.microsoft.com/azure/architecture/framework/scalability/design-capacity" TargetMode="External"/><Relationship Id="rId68" Type="http://schemas.openxmlformats.org/officeDocument/2006/relationships/hyperlink" Target="https://learn.microsoft.com/azure/architecture/reference-architectures/hybrid-networking/hub-spoke?tabs=cli" TargetMode="External"/><Relationship Id="rId89" Type="http://schemas.openxmlformats.org/officeDocument/2006/relationships/hyperlink" Target="https://learn.microsoft.com/azure/virtual-network/virtual-networks-name-resolution-for-vms-and-role-instances" TargetMode="External"/><Relationship Id="rId112" Type="http://schemas.openxmlformats.org/officeDocument/2006/relationships/hyperlink" Target="https://learn.microsoft.com/learn/paths/az-104-manage-virtual-networks/" TargetMode="External"/><Relationship Id="rId133" Type="http://schemas.openxmlformats.org/officeDocument/2006/relationships/hyperlink" Target="https://learn.microsoft.com/azure/virtual-wan/about-virtual-hub-routing" TargetMode="External"/><Relationship Id="rId154" Type="http://schemas.openxmlformats.org/officeDocument/2006/relationships/hyperlink" Target="https://learn.microsoft.com/azure/governance/policy/how-to/guest-configuration-create" TargetMode="External"/><Relationship Id="rId175" Type="http://schemas.openxmlformats.org/officeDocument/2006/relationships/hyperlink" Target="https://learn.microsoft.com/security/benchmark/azure/security-control-incident-response" TargetMode="External"/><Relationship Id="rId196" Type="http://schemas.openxmlformats.org/officeDocument/2006/relationships/hyperlink" Target="https://learn.microsoft.com/azure/azure-monitor/logs/design-logs-deployment" TargetMode="External"/><Relationship Id="rId200" Type="http://schemas.openxmlformats.org/officeDocument/2006/relationships/hyperlink" Target="https://learn.microsoft.com/azure/cloud-adoption-framework/ready/landing-zone/design-area/service-enablement-framework" TargetMode="External"/><Relationship Id="rId16" Type="http://schemas.openxmlformats.org/officeDocument/2006/relationships/hyperlink" Target="https://learn.microsoft.com/azure/cloud-adoption-framework/ready/landing-zone/design-area/azure-billing-enterprise-agreement" TargetMode="External"/><Relationship Id="rId221" Type="http://schemas.openxmlformats.org/officeDocument/2006/relationships/hyperlink" Target="https://learn.microsoft.com/learn/paths/architect-network-infrastructure/" TargetMode="External"/><Relationship Id="rId242" Type="http://schemas.openxmlformats.org/officeDocument/2006/relationships/hyperlink" Target="https://learn.microsoft.com/azure/cloud-adoption-framework/ready/considerations/development-strategy-development-lifecycle" TargetMode="External"/><Relationship Id="rId263" Type="http://schemas.openxmlformats.org/officeDocument/2006/relationships/hyperlink" Target="https://learn.microsoft.com/azure/azure-monitor/logs/logs-data-export?tabs=portal" TargetMode="External"/><Relationship Id="rId284" Type="http://schemas.openxmlformats.org/officeDocument/2006/relationships/hyperlink" Target="https://learn.microsoft.com/learn/paths/control-spending-manage-bills/" TargetMode="External"/><Relationship Id="rId319" Type="http://schemas.openxmlformats.org/officeDocument/2006/relationships/drawing" Target="../drawings/drawing2.xml"/><Relationship Id="rId37" Type="http://schemas.openxmlformats.org/officeDocument/2006/relationships/hyperlink" Target="https://learn.microsoft.com/azure/cloud-adoption-framework/ready/landing-zone/design-area/resource-org-management-groups" TargetMode="External"/><Relationship Id="rId58" Type="http://schemas.openxmlformats.org/officeDocument/2006/relationships/hyperlink" Target="https://learn.microsoft.com/azure/cloud-adoption-framework/ready/enterprise-scale/network-topology-and-connectivity" TargetMode="External"/><Relationship Id="rId79" Type="http://schemas.openxmlformats.org/officeDocument/2006/relationships/hyperlink" Target="https://learn.microsoft.com/azure/expressroute/expressroute-monitoring-metrics-alerts" TargetMode="External"/><Relationship Id="rId102" Type="http://schemas.openxmlformats.org/officeDocument/2006/relationships/hyperlink" Target="https://learn.microsoft.com/azure/firewall/premium-features" TargetMode="External"/><Relationship Id="rId123" Type="http://schemas.openxmlformats.org/officeDocument/2006/relationships/hyperlink" Target="https://learn.microsoft.com/learn/paths/implement-network-security/" TargetMode="External"/><Relationship Id="rId144" Type="http://schemas.openxmlformats.org/officeDocument/2006/relationships/hyperlink" Target="https://learn.microsoft.com/azure/automation/automation-solution-vm-management-config" TargetMode="External"/><Relationship Id="rId90" Type="http://schemas.openxmlformats.org/officeDocument/2006/relationships/hyperlink" Target="https://learn.microsoft.com/azure/dns/private-dns-autoregistration" TargetMode="External"/><Relationship Id="rId165" Type="http://schemas.openxmlformats.org/officeDocument/2006/relationships/hyperlink" Target="https://learn.microsoft.com/azure/architecture/best-practices/monitoring" TargetMode="External"/><Relationship Id="rId186" Type="http://schemas.openxmlformats.org/officeDocument/2006/relationships/hyperlink" Target="https://learn.microsoft.com/azure/security/fundamentals/encryption-atrest" TargetMode="External"/><Relationship Id="rId211" Type="http://schemas.openxmlformats.org/officeDocument/2006/relationships/hyperlink" Target="https://learn.microsoft.com/learn/paths/enterprise-scale-architecture/" TargetMode="External"/><Relationship Id="rId232" Type="http://schemas.openxmlformats.org/officeDocument/2006/relationships/hyperlink" Target="https://learn.microsoft.com/learn/paths/implement-resource-mgmt-security/" TargetMode="External"/><Relationship Id="rId253" Type="http://schemas.openxmlformats.org/officeDocument/2006/relationships/hyperlink" Target="https://learn.microsoft.com/azure/key-vault/general/best-practices" TargetMode="External"/><Relationship Id="rId274" Type="http://schemas.openxmlformats.org/officeDocument/2006/relationships/hyperlink" Target="https://learn.microsoft.com/learn/paths/implement-resource-mgmt-security/" TargetMode="External"/><Relationship Id="rId295" Type="http://schemas.openxmlformats.org/officeDocument/2006/relationships/hyperlink" Target="https://learn.microsoft.com/learn/modules/design-implement-azure-expressroute/" TargetMode="External"/><Relationship Id="rId309" Type="http://schemas.openxmlformats.org/officeDocument/2006/relationships/hyperlink" Target="https://learn.microsoft.com/learn/paths/secure-networking-infrastructure/" TargetMode="External"/><Relationship Id="rId27" Type="http://schemas.openxmlformats.org/officeDocument/2006/relationships/hyperlink" Target="https://learn.microsoft.com/azure/active-directory/fundamentals/active-directory-groups-create-azure-portal" TargetMode="External"/><Relationship Id="rId48" Type="http://schemas.openxmlformats.org/officeDocument/2006/relationships/hyperlink" Target="https://learn.microsoft.com/azure/cost-management-billing/cost-management-billing-overview" TargetMode="External"/><Relationship Id="rId69" Type="http://schemas.openxmlformats.org/officeDocument/2006/relationships/hyperlink" Target="https://learn.microsoft.com/azure/expressroute/expressroute-routing" TargetMode="External"/><Relationship Id="rId113" Type="http://schemas.openxmlformats.org/officeDocument/2006/relationships/hyperlink" Target="https://learn.microsoft.com/learn/paths/az-104-manage-virtual-networks/" TargetMode="External"/><Relationship Id="rId134" Type="http://schemas.openxmlformats.org/officeDocument/2006/relationships/hyperlink" Target="https://learn.microsoft.com/azure/virtual-wan/virtual-wan-faq" TargetMode="External"/><Relationship Id="rId320" Type="http://schemas.openxmlformats.org/officeDocument/2006/relationships/vmlDrawing" Target="../drawings/vmlDrawing1.vml"/><Relationship Id="rId80" Type="http://schemas.openxmlformats.org/officeDocument/2006/relationships/hyperlink" Target="https://learn.microsoft.com/azure/expressroute/how-to-configure-connection-monitor" TargetMode="External"/><Relationship Id="rId155" Type="http://schemas.openxmlformats.org/officeDocument/2006/relationships/hyperlink" Target="https://learn.microsoft.com/azure/automation/update-management/overview" TargetMode="External"/><Relationship Id="rId176" Type="http://schemas.openxmlformats.org/officeDocument/2006/relationships/hyperlink" Target="https://www.microsoft.com/security/business/zero-trust" TargetMode="External"/><Relationship Id="rId197" Type="http://schemas.openxmlformats.org/officeDocument/2006/relationships/hyperlink" Target="https://learn.microsoft.com/azure/storage/common/storage-require-secure-transfer" TargetMode="External"/><Relationship Id="rId201" Type="http://schemas.openxmlformats.org/officeDocument/2006/relationships/hyperlink" Target="https://learn.microsoft.com/azure/cloud-adoption-framework/ready/landing-zone/design-area/service-enablement-framework" TargetMode="External"/><Relationship Id="rId222" Type="http://schemas.openxmlformats.org/officeDocument/2006/relationships/hyperlink" Target="https://learn.microsoft.com/learn/paths/architect-network-infrastructure/" TargetMode="External"/><Relationship Id="rId243" Type="http://schemas.openxmlformats.org/officeDocument/2006/relationships/hyperlink" Target="https://learn.microsoft.com/azure/cloud-adoption-framework/ready/considerations/development-strategy-development-lifecycle" TargetMode="External"/><Relationship Id="rId264" Type="http://schemas.openxmlformats.org/officeDocument/2006/relationships/hyperlink" Target="https://learn.microsoft.com/azure/security-center/" TargetMode="External"/><Relationship Id="rId285" Type="http://schemas.openxmlformats.org/officeDocument/2006/relationships/hyperlink" Target="https://learn.microsoft.com/learn/paths/enterprise-scale-architecture/" TargetMode="External"/><Relationship Id="rId17" Type="http://schemas.openxmlformats.org/officeDocument/2006/relationships/hyperlink" Target="https://learn.microsoft.com/azure/cloud-adoption-framework/ready/landing-zone/design-area/identity-access-landing-zones" TargetMode="External"/><Relationship Id="rId38" Type="http://schemas.openxmlformats.org/officeDocument/2006/relationships/hyperlink" Target="https://learn.microsoft.com/azure/cloud-adoption-framework/ready/landing-zone/design-area/resource-org-management-groups" TargetMode="External"/><Relationship Id="rId59" Type="http://schemas.openxmlformats.org/officeDocument/2006/relationships/hyperlink" Target="https://learn.microsoft.com/azure/architecture/reference-architectures/hybrid-networking/expressroute" TargetMode="External"/><Relationship Id="rId103" Type="http://schemas.openxmlformats.org/officeDocument/2006/relationships/hyperlink" Target="https://learn.microsoft.com/azure/firewall/premium-features" TargetMode="External"/><Relationship Id="rId124" Type="http://schemas.openxmlformats.org/officeDocument/2006/relationships/hyperlink" Target="https://learn.microsoft.com/azure/virtual-network/network-security-group-how-it-works" TargetMode="External"/><Relationship Id="rId310" Type="http://schemas.openxmlformats.org/officeDocument/2006/relationships/hyperlink" Target="https://learn.microsoft.com/learn/modules/design-implement-azure-expressroute/" TargetMode="External"/><Relationship Id="rId70" Type="http://schemas.openxmlformats.org/officeDocument/2006/relationships/hyperlink" Target="https://learn.microsoft.com/azure/expressroute/expressroute-routing" TargetMode="External"/><Relationship Id="rId91" Type="http://schemas.openxmlformats.org/officeDocument/2006/relationships/hyperlink" Target="https://learn.microsoft.com/azure/bastion/bastion-overview" TargetMode="External"/><Relationship Id="rId145" Type="http://schemas.openxmlformats.org/officeDocument/2006/relationships/hyperlink" Target="https://learn.microsoft.com/azure/virtual-machine-scale-sets/overview" TargetMode="External"/><Relationship Id="rId166" Type="http://schemas.openxmlformats.org/officeDocument/2006/relationships/hyperlink" Target="https://learn.microsoft.com/azure/automation/how-to/region-mappings" TargetMode="External"/><Relationship Id="rId187" Type="http://schemas.openxmlformats.org/officeDocument/2006/relationships/hyperlink" Target="https://learn.microsoft.com/azure/key-vault/general/best-practices" TargetMode="External"/><Relationship Id="rId1" Type="http://schemas.openxmlformats.org/officeDocument/2006/relationships/hyperlink" Target="https://learn.microsoft.com/azure/cloud-adoption-framework/ready/landing-zone/design-area/multi-tenant/considerations-recommendations" TargetMode="External"/><Relationship Id="rId212" Type="http://schemas.openxmlformats.org/officeDocument/2006/relationships/hyperlink" Target="https://learn.microsoft.com/learn/paths/enterprise-scale-architecture/" TargetMode="External"/><Relationship Id="rId233" Type="http://schemas.openxmlformats.org/officeDocument/2006/relationships/hyperlink" Target="https://learn.microsoft.com/learn/paths/azure-administrator-manage-compute-resources/" TargetMode="External"/><Relationship Id="rId254" Type="http://schemas.openxmlformats.org/officeDocument/2006/relationships/hyperlink" Target="https://learn.microsoft.com/azure/key-vault/general/best-practices" TargetMode="External"/><Relationship Id="rId28" Type="http://schemas.openxmlformats.org/officeDocument/2006/relationships/hyperlink" Target="https://learn.microsoft.com/azure/cloud-adoption-framework/ready/landing-zone/design-area/identity-access" TargetMode="External"/><Relationship Id="rId49" Type="http://schemas.openxmlformats.org/officeDocument/2006/relationships/hyperlink" Target="https://learn.microsoft.com/azure/governance/management-groups/overview" TargetMode="External"/><Relationship Id="rId114" Type="http://schemas.openxmlformats.org/officeDocument/2006/relationships/hyperlink" Target="https://learn.microsoft.com/learn/paths/implement-network-security/?source=learn" TargetMode="External"/><Relationship Id="rId275" Type="http://schemas.openxmlformats.org/officeDocument/2006/relationships/hyperlink" Target="https://learn.microsoft.com/learn/modules/plan-implement-administer-conditional-access/" TargetMode="External"/><Relationship Id="rId296" Type="http://schemas.openxmlformats.org/officeDocument/2006/relationships/hyperlink" Target="https://learn.microsoft.com/learn/modules/design-implement-azure-expressroute/" TargetMode="External"/><Relationship Id="rId300" Type="http://schemas.openxmlformats.org/officeDocument/2006/relationships/hyperlink" Target="https://learn.microsoft.com/learn/modules/design-implement-azure-expressroute/" TargetMode="External"/><Relationship Id="rId60" Type="http://schemas.openxmlformats.org/officeDocument/2006/relationships/hyperlink" Target="https://learn.microsoft.com/azure/architecture/reference-architectures/dmz/nva-ha" TargetMode="External"/><Relationship Id="rId81" Type="http://schemas.openxmlformats.org/officeDocument/2006/relationships/hyperlink" Target="https://learn.microsoft.com/azure/expressroute/designing-for-disaster-recovery-with-expressroute-privatepeering" TargetMode="External"/><Relationship Id="rId135" Type="http://schemas.openxmlformats.org/officeDocument/2006/relationships/hyperlink" Target="https://learn.microsoft.com/azure/governance/policy/overview" TargetMode="External"/><Relationship Id="rId156" Type="http://schemas.openxmlformats.org/officeDocument/2006/relationships/hyperlink" Target="https://learn.microsoft.com/azure/network-watcher/network-watcher-monitoring-overview" TargetMode="External"/><Relationship Id="rId177" Type="http://schemas.openxmlformats.org/officeDocument/2006/relationships/hyperlink" Target="https://learn.microsoft.com/azure/key-vault/general/overview" TargetMode="External"/><Relationship Id="rId198" Type="http://schemas.openxmlformats.org/officeDocument/2006/relationships/hyperlink" Target="https://learn.microsoft.com/azure/storage/blobs/data-protection-overview" TargetMode="External"/><Relationship Id="rId321" Type="http://schemas.openxmlformats.org/officeDocument/2006/relationships/ctrlProp" Target="../ctrlProps/ctrlProp1.xml"/><Relationship Id="rId202" Type="http://schemas.openxmlformats.org/officeDocument/2006/relationships/hyperlink" Target="https://learn.microsoft.com/azure/cloud-adoption-framework/ready/landing-zone/design-area/platform-automation-devops" TargetMode="External"/><Relationship Id="rId223" Type="http://schemas.openxmlformats.org/officeDocument/2006/relationships/hyperlink" Target="https://learn.microsoft.com/training/modules/intro-to-azure-dns-private-resolver/" TargetMode="External"/><Relationship Id="rId244" Type="http://schemas.openxmlformats.org/officeDocument/2006/relationships/hyperlink" Target="https://learn.microsoft.com/azure/cloud-adoption-framework/ready/considerations/infrastructure-as-code" TargetMode="External"/><Relationship Id="rId18" Type="http://schemas.openxmlformats.org/officeDocument/2006/relationships/hyperlink" Target="https://learn.microsoft.com/azure/active-directory/hybrid/how-to-connect-sync-staging-server" TargetMode="External"/><Relationship Id="rId39" Type="http://schemas.openxmlformats.org/officeDocument/2006/relationships/hyperlink" Target="https://learn.microsoft.com/azure/cloud-adoption-framework/ready/landing-zone/design-area/resource-org-management-groups" TargetMode="External"/><Relationship Id="rId265" Type="http://schemas.openxmlformats.org/officeDocument/2006/relationships/hyperlink" Target="https://learn.microsoft.com/azure/security-center/" TargetMode="External"/><Relationship Id="rId286" Type="http://schemas.openxmlformats.org/officeDocument/2006/relationships/hyperlink" Target="https://learn.microsoft.com/learn/paths/implement-resource-mgmt-security/" TargetMode="External"/><Relationship Id="rId50" Type="http://schemas.openxmlformats.org/officeDocument/2006/relationships/hyperlink" Target="https://learn.microsoft.com/azure/cloud-adoption-framework/ready/azure-best-practices/track-costs" TargetMode="External"/><Relationship Id="rId104" Type="http://schemas.openxmlformats.org/officeDocument/2006/relationships/hyperlink" Target="https://learn.microsoft.com/azure/virtual-network/virtual-networks-udr-overview" TargetMode="External"/><Relationship Id="rId125" Type="http://schemas.openxmlformats.org/officeDocument/2006/relationships/hyperlink" Target="https://learn.microsoft.com/azure/virtual-wan/scenario-any-to-any" TargetMode="External"/><Relationship Id="rId146" Type="http://schemas.openxmlformats.org/officeDocument/2006/relationships/hyperlink" Target="https://learn.microsoft.com/azure/cost-management-billing/costs/tutorial-acm-create-budgets?bc=%2Fazure%2Fcloud-adoption-framework%2F_bread%2Ftoc.json&amp;toc=%2Fazure%2Fcloud-adoption-framework%2Ftoc.json" TargetMode="External"/><Relationship Id="rId167" Type="http://schemas.openxmlformats.org/officeDocument/2006/relationships/hyperlink" Target="https://learn.microsoft.com/azure/governance/policy/concepts/guest-configuration" TargetMode="External"/><Relationship Id="rId188" Type="http://schemas.openxmlformats.org/officeDocument/2006/relationships/hyperlink" Target="https://learn.microsoft.com/azure/key-vault/general/best-practices" TargetMode="External"/><Relationship Id="rId311" Type="http://schemas.openxmlformats.org/officeDocument/2006/relationships/hyperlink" Target="https://learn.microsoft.com/learn/paths/implement-network-security/?source=learn" TargetMode="External"/><Relationship Id="rId71" Type="http://schemas.openxmlformats.org/officeDocument/2006/relationships/hyperlink" Target="https://learn.microsoft.com/azure/expressroute/plan-manage-cost" TargetMode="External"/><Relationship Id="rId92" Type="http://schemas.openxmlformats.org/officeDocument/2006/relationships/hyperlink" Target="https://learn.microsoft.com/azure/bastion/bastion-faq" TargetMode="External"/><Relationship Id="rId213" Type="http://schemas.openxmlformats.org/officeDocument/2006/relationships/hyperlink" Target="https://learn.microsoft.com/learn/paths/enterprise-scale-architecture/" TargetMode="External"/><Relationship Id="rId234" Type="http://schemas.openxmlformats.org/officeDocument/2006/relationships/hyperlink" Target="https://learn.microsoft.com/learn/modules/configure-network-watcher/" TargetMode="External"/><Relationship Id="rId2" Type="http://schemas.openxmlformats.org/officeDocument/2006/relationships/hyperlink" Target="https://learn.microsoft.com/azure/cloud-adoption-framework/ready/landing-zone/design-area/multi-tenant/automation" TargetMode="External"/><Relationship Id="rId29" Type="http://schemas.openxmlformats.org/officeDocument/2006/relationships/hyperlink" Target="https://learn.microsoft.com/azure/active-directory-domain-services/overview" TargetMode="External"/><Relationship Id="rId255" Type="http://schemas.openxmlformats.org/officeDocument/2006/relationships/hyperlink" Target="https://learn.microsoft.com/azure/key-vault/general/best-practices" TargetMode="External"/><Relationship Id="rId276" Type="http://schemas.openxmlformats.org/officeDocument/2006/relationships/hyperlink" Target="https://learn.microsoft.com/learn/modules/secure-aad-users-with-mfa/" TargetMode="External"/><Relationship Id="rId297" Type="http://schemas.openxmlformats.org/officeDocument/2006/relationships/hyperlink" Target="https://learn.microsoft.com/learn/modules/design-implement-azure-expressroute/" TargetMode="External"/><Relationship Id="rId40" Type="http://schemas.openxmlformats.org/officeDocument/2006/relationships/hyperlink" Target="https://learn.microsoft.com/azure/cloud-adoption-framework/ready/landing-zone/design-area/resource-org-management-groups" TargetMode="External"/><Relationship Id="rId115" Type="http://schemas.openxmlformats.org/officeDocument/2006/relationships/hyperlink" Target="https://learn.microsoft.com/azure/app-service/networking-features" TargetMode="External"/><Relationship Id="rId136" Type="http://schemas.openxmlformats.org/officeDocument/2006/relationships/hyperlink" Target="https://learn.microsoft.com/azure/cloud-adoption-framework/ready/azure-best-practices/naming-and-tagging" TargetMode="External"/><Relationship Id="rId157" Type="http://schemas.openxmlformats.org/officeDocument/2006/relationships/hyperlink" Target="https://learn.microsoft.com/azure/azure-resource-manager/management/lock-resources?tabs=json" TargetMode="External"/><Relationship Id="rId178" Type="http://schemas.openxmlformats.org/officeDocument/2006/relationships/hyperlink" Target="https://learn.microsoft.com/azure/key-vault/general/overview-throttling" TargetMode="External"/><Relationship Id="rId301" Type="http://schemas.openxmlformats.org/officeDocument/2006/relationships/hyperlink" Target="https://learn.microsoft.com/learn/modules/design-implement-azure-expressroute/" TargetMode="External"/><Relationship Id="rId322" Type="http://schemas.openxmlformats.org/officeDocument/2006/relationships/ctrlProp" Target="../ctrlProps/ctrlProp2.xml"/><Relationship Id="rId61" Type="http://schemas.openxmlformats.org/officeDocument/2006/relationships/hyperlink" Target="https://learn.microsoft.com/azure/expressroute/expressroute-howto-coexist-resource-manager" TargetMode="External"/><Relationship Id="rId82" Type="http://schemas.openxmlformats.org/officeDocument/2006/relationships/hyperlink" Target="https://learn.microsoft.com/azure/architecture/reference-architectures/identity/adds-extend-domain" TargetMode="External"/><Relationship Id="rId199" Type="http://schemas.openxmlformats.org/officeDocument/2006/relationships/hyperlink" Target="https://learn.microsoft.com/azure/active-directory/roles/security-planning" TargetMode="External"/><Relationship Id="rId203" Type="http://schemas.openxmlformats.org/officeDocument/2006/relationships/hyperlink" Target="https://learn.microsoft.com/azure/cloud-adoption-framework/ready/azure-best-practices/resource-naming" TargetMode="External"/><Relationship Id="rId19" Type="http://schemas.openxmlformats.org/officeDocument/2006/relationships/hyperlink" Target="https://learn.microsoft.com/azure/active-directory/roles/security-emergency-access" TargetMode="External"/><Relationship Id="rId224" Type="http://schemas.openxmlformats.org/officeDocument/2006/relationships/hyperlink" Target="https://learn.microsoft.com/learn/paths/secure-application-delivery/" TargetMode="External"/><Relationship Id="rId245" Type="http://schemas.openxmlformats.org/officeDocument/2006/relationships/hyperlink" Target="https://learn.microsoft.com/azure/cloud-adoption-framework/ready/considerations/landing-zone-security" TargetMode="External"/><Relationship Id="rId266" Type="http://schemas.openxmlformats.org/officeDocument/2006/relationships/hyperlink" Target="https://learn.microsoft.com/azure/azure-monitor/logs/design-logs-deployment" TargetMode="External"/><Relationship Id="rId287" Type="http://schemas.openxmlformats.org/officeDocument/2006/relationships/hyperlink" Target="https://learn.microsoft.com/learn/modules/azure-architecture-fundamentals/" TargetMode="External"/><Relationship Id="rId30" Type="http://schemas.openxmlformats.org/officeDocument/2006/relationships/hyperlink" Target="https://learn.microsoft.com/azure/active-directory-domain-services/overview" TargetMode="External"/><Relationship Id="rId105" Type="http://schemas.openxmlformats.org/officeDocument/2006/relationships/hyperlink" Target="https://learn.microsoft.com/en-us/azure/virtual-network/ip-services/default-outbound-access" TargetMode="External"/><Relationship Id="rId126" Type="http://schemas.openxmlformats.org/officeDocument/2006/relationships/hyperlink" Target="https://learn.microsoft.com/azure/virtual-wan/virtual-wan-about" TargetMode="External"/><Relationship Id="rId147" Type="http://schemas.openxmlformats.org/officeDocument/2006/relationships/hyperlink" Target="https://learn.microsoft.com/azure/web-application-firewall/afds/waf-front-door-best-practices" TargetMode="External"/><Relationship Id="rId168" Type="http://schemas.openxmlformats.org/officeDocument/2006/relationships/hyperlink" Target="https://learn.microsoft.com/azure/cloud-adoption-framework/ready/landing-zone/design-area/management-operational-compliance" TargetMode="External"/><Relationship Id="rId312" Type="http://schemas.openxmlformats.org/officeDocument/2006/relationships/hyperlink" Target="https://learn.microsoft.com/learn/paths/implement-network-security/?source=learn" TargetMode="External"/><Relationship Id="rId51" Type="http://schemas.openxmlformats.org/officeDocument/2006/relationships/hyperlink" Target="https://learn.microsoft.com/azure/cloud-adoption-framework/ready/azure-setup-guide/regions" TargetMode="External"/><Relationship Id="rId72" Type="http://schemas.openxmlformats.org/officeDocument/2006/relationships/hyperlink" Target="https://learn.microsoft.com/azure/expressroute/expressroute-faqs" TargetMode="External"/><Relationship Id="rId93" Type="http://schemas.openxmlformats.org/officeDocument/2006/relationships/hyperlink" Target="https://learn.microsoft.com/azure/app-service/networking-features" TargetMode="External"/><Relationship Id="rId189" Type="http://schemas.openxmlformats.org/officeDocument/2006/relationships/hyperlink" Target="https://learn.microsoft.com/azure/active-directory/reports-monitoring/overview-reports" TargetMode="External"/><Relationship Id="rId3" Type="http://schemas.openxmlformats.org/officeDocument/2006/relationships/hyperlink" Target="https://learn.microsoft.com/azure/cloud-adoption-framework/ready/landing-zone/design-area/multi-tenant/lighthouse" TargetMode="External"/><Relationship Id="rId214" Type="http://schemas.openxmlformats.org/officeDocument/2006/relationships/hyperlink" Target="https://learn.microsoft.com/learn/paths/improve-reliability-modern-operations/" TargetMode="External"/><Relationship Id="rId235" Type="http://schemas.openxmlformats.org/officeDocument/2006/relationships/hyperlink" Target="https://learn.microsoft.com/azure/cloud-adoption-framework/ready/considerations/devops-teams-topologies" TargetMode="External"/><Relationship Id="rId256" Type="http://schemas.openxmlformats.org/officeDocument/2006/relationships/hyperlink" Target="https://learn.microsoft.com/azure/key-vault/general/best-practices" TargetMode="External"/><Relationship Id="rId277" Type="http://schemas.openxmlformats.org/officeDocument/2006/relationships/hyperlink" Target="https://learn.microsoft.com/learn/paths/azure-administrator-manage-identities-governance/" TargetMode="External"/><Relationship Id="rId298" Type="http://schemas.openxmlformats.org/officeDocument/2006/relationships/hyperlink" Target="https://learn.microsoft.com/training/modules/intro-to-azure-vpn-gateway/" TargetMode="External"/><Relationship Id="rId116" Type="http://schemas.openxmlformats.org/officeDocument/2006/relationships/hyperlink" Target="https://learn.microsoft.com/azure/firewall/firewall-faq" TargetMode="External"/><Relationship Id="rId137" Type="http://schemas.openxmlformats.org/officeDocument/2006/relationships/hyperlink" Target="https://learn.microsoft.com/azure/governance/policy/overview" TargetMode="External"/><Relationship Id="rId158" Type="http://schemas.openxmlformats.org/officeDocument/2006/relationships/hyperlink" Target="https://learn.microsoft.com/azure/governance/policy/overview" TargetMode="External"/><Relationship Id="rId302" Type="http://schemas.openxmlformats.org/officeDocument/2006/relationships/hyperlink" Target="https://learn.microsoft.com/learn/paths/az-104-manage-virtual-networks/" TargetMode="External"/><Relationship Id="rId323" Type="http://schemas.openxmlformats.org/officeDocument/2006/relationships/ctrlProp" Target="../ctrlProps/ctrlProp3.xml"/><Relationship Id="rId20" Type="http://schemas.openxmlformats.org/officeDocument/2006/relationships/hyperlink" Target="https://learn.microsoft.com/azure/active-directory/reports-monitoring/concept-activity-logs-azure-monitor" TargetMode="External"/><Relationship Id="rId41" Type="http://schemas.openxmlformats.org/officeDocument/2006/relationships/hyperlink" Target="https://learn.microsoft.com/azure/governance/management-groups/how-to/protect-resource-hierarchy" TargetMode="External"/><Relationship Id="rId62" Type="http://schemas.openxmlformats.org/officeDocument/2006/relationships/hyperlink" Target="https://learn.microsoft.com/azure/route-server/quickstart-configure-route-server-portal" TargetMode="External"/><Relationship Id="rId83" Type="http://schemas.openxmlformats.org/officeDocument/2006/relationships/hyperlink" Target="https://learn.microsoft.com/azure/cloud-adoption-framework/ready/azure-best-practices/plan-for-ip-addressing" TargetMode="External"/><Relationship Id="rId179" Type="http://schemas.openxmlformats.org/officeDocument/2006/relationships/hyperlink" Target="https://learn.microsoft.com/azure/key-vault/general/best-practices" TargetMode="External"/><Relationship Id="rId190" Type="http://schemas.openxmlformats.org/officeDocument/2006/relationships/hyperlink" Target="https://learn.microsoft.com/azure/azure-monitor/logs/logs-data-export?tabs=portal" TargetMode="External"/><Relationship Id="rId204" Type="http://schemas.openxmlformats.org/officeDocument/2006/relationships/hyperlink" Target="https://learn.microsoft.com/learn/modules/create-custom-azure-roles-with-rbac/" TargetMode="External"/><Relationship Id="rId225" Type="http://schemas.openxmlformats.org/officeDocument/2006/relationships/hyperlink" Target="https://learn.microsoft.com/learn/modules/design-implement-network-monitoring/" TargetMode="External"/><Relationship Id="rId246" Type="http://schemas.openxmlformats.org/officeDocument/2006/relationships/hyperlink" Target="https://learn.microsoft.com/azure/cloud-adoption-framework/ready/azure-best-practices/track-costs" TargetMode="External"/><Relationship Id="rId267" Type="http://schemas.openxmlformats.org/officeDocument/2006/relationships/hyperlink" Target="https://learn.microsoft.com/azure/storage/common/storage-require-secure-transfer" TargetMode="External"/><Relationship Id="rId288" Type="http://schemas.openxmlformats.org/officeDocument/2006/relationships/hyperlink" Target="https://azure.microsoft.com/explore/global-infrastructure/products-by-region/" TargetMode="External"/><Relationship Id="rId106" Type="http://schemas.openxmlformats.org/officeDocument/2006/relationships/hyperlink" Target="https://learn.microsoft.com/azure/virtual-network/vnet-integration-for-azure-services" TargetMode="External"/><Relationship Id="rId127" Type="http://schemas.openxmlformats.org/officeDocument/2006/relationships/hyperlink" Target="https://learn.microsoft.com/azure/virtual-wan/virtual-wan-about" TargetMode="External"/><Relationship Id="rId313" Type="http://schemas.openxmlformats.org/officeDocument/2006/relationships/hyperlink" Target="https://learn.microsoft.com/learn/paths/implement-resource-mgmt-security/" TargetMode="External"/><Relationship Id="rId10" Type="http://schemas.openxmlformats.org/officeDocument/2006/relationships/hyperlink" Target="https://learn.microsoft.com/azure/cloud-adoption-framework/ready/landing-zone/design-area/azure-billing-enterprise-agreement" TargetMode="External"/><Relationship Id="rId31" Type="http://schemas.openxmlformats.org/officeDocument/2006/relationships/hyperlink" Target="https://learn.microsoft.com/azure/architecture/reference-architectures/identity/adds-extend-domain" TargetMode="External"/><Relationship Id="rId52" Type="http://schemas.openxmlformats.org/officeDocument/2006/relationships/hyperlink" Target="https://learn.microsoft.com/en-us/azure/cloud-adoption-framework/ready/azure-setup-guide/regions" TargetMode="External"/><Relationship Id="rId73" Type="http://schemas.openxmlformats.org/officeDocument/2006/relationships/hyperlink" Target="https://learn.microsoft.com/azure/expressroute/expressroute-about-virtual-network-gateways" TargetMode="External"/><Relationship Id="rId94" Type="http://schemas.openxmlformats.org/officeDocument/2006/relationships/hyperlink" Target="https://learn.microsoft.com/azure/firewall/" TargetMode="External"/><Relationship Id="rId148" Type="http://schemas.openxmlformats.org/officeDocument/2006/relationships/hyperlink" Target="https://learn.microsoft.com/azure/web-application-firewall/afds/waf-front-door-best-practices" TargetMode="External"/><Relationship Id="rId169" Type="http://schemas.openxmlformats.org/officeDocument/2006/relationships/hyperlink" Target="https://learn.microsoft.com/azure/site-recovery/site-recovery-overview" TargetMode="External"/><Relationship Id="rId4" Type="http://schemas.openxmlformats.org/officeDocument/2006/relationships/hyperlink" Target="https://learn.microsoft.com/azure/cloud-adoption-framework/ready/landing-zone/design-area/azure-billing-microsoft-customer-agreement" TargetMode="External"/><Relationship Id="rId180" Type="http://schemas.openxmlformats.org/officeDocument/2006/relationships/hyperlink" Target="https://learn.microsoft.com/azure/key-vault/general/best-practices" TargetMode="External"/><Relationship Id="rId215" Type="http://schemas.openxmlformats.org/officeDocument/2006/relationships/hyperlink" Target="https://learn.microsoft.com/learn/modules/azure-architecture-fundamentals/" TargetMode="External"/><Relationship Id="rId236" Type="http://schemas.openxmlformats.org/officeDocument/2006/relationships/hyperlink" Target="https://learn.microsoft.com/azure/cloud-adoption-framework/ready/considerations/devops-teams-topologies" TargetMode="External"/><Relationship Id="rId257" Type="http://schemas.openxmlformats.org/officeDocument/2006/relationships/hyperlink" Target="https://learn.microsoft.com/azure/key-vault/general/monitor-key-vault" TargetMode="External"/><Relationship Id="rId278" Type="http://schemas.openxmlformats.org/officeDocument/2006/relationships/hyperlink" Target="https://learn.microsoft.com/learn/modules/azure-ad-privileged-identity-management/" TargetMode="External"/><Relationship Id="rId303" Type="http://schemas.openxmlformats.org/officeDocument/2006/relationships/hyperlink" Target="https://learn.microsoft.com/learn/paths/secure-networking-infrastructure/" TargetMode="External"/><Relationship Id="rId42" Type="http://schemas.openxmlformats.org/officeDocument/2006/relationships/hyperlink" Target="https://learn.microsoft.com/azure/governance/management-groups/how-to/protect-resource-hierarchy" TargetMode="External"/><Relationship Id="rId84" Type="http://schemas.openxmlformats.org/officeDocument/2006/relationships/hyperlink" Target="https://learn.microsoft.com/azure/cloud-adoption-framework/ready/azure-best-practices/plan-for-ip-addressing" TargetMode="External"/><Relationship Id="rId138" Type="http://schemas.openxmlformats.org/officeDocument/2006/relationships/hyperlink" Target="https://learn.microsoft.com/azure/governance/policy/overview" TargetMode="External"/><Relationship Id="rId191" Type="http://schemas.openxmlformats.org/officeDocument/2006/relationships/hyperlink" Target="https://learn.microsoft.com/azure/defender-for-cloud/concept-cloud-security-posture-management" TargetMode="External"/><Relationship Id="rId205" Type="http://schemas.openxmlformats.org/officeDocument/2006/relationships/hyperlink" Target="https://learn.microsoft.com/learn/modules/implement-hybrid-identity-windows-server/" TargetMode="External"/><Relationship Id="rId247" Type="http://schemas.openxmlformats.org/officeDocument/2006/relationships/hyperlink" Target="https://learn.microsoft.com/learn/paths/implement-resource-mgmt-security/" TargetMode="External"/><Relationship Id="rId107" Type="http://schemas.openxmlformats.org/officeDocument/2006/relationships/hyperlink" Target="https://learn.microsoft.com/azure/app-service/networking-features" TargetMode="External"/><Relationship Id="rId289" Type="http://schemas.openxmlformats.org/officeDocument/2006/relationships/hyperlink" Target="https://learn.microsoft.com/learn/modules/azure-architecture-fundamentals/" TargetMode="External"/><Relationship Id="rId11" Type="http://schemas.openxmlformats.org/officeDocument/2006/relationships/hyperlink" Target="https://learn.microsoft.com/azure/cloud-adoption-framework/ready/landing-zone/design-area/azure-billing-enterprise-agreement" TargetMode="External"/><Relationship Id="rId53" Type="http://schemas.openxmlformats.org/officeDocument/2006/relationships/hyperlink" Target="https://learn.microsoft.com/azure/cloud-adoption-framework/ready/azure-best-practices/plan-for-app-delivery" TargetMode="External"/><Relationship Id="rId149" Type="http://schemas.openxmlformats.org/officeDocument/2006/relationships/hyperlink" Target="https://learn.microsoft.com/azure/reliability/cross-region-replication-azure" TargetMode="External"/><Relationship Id="rId314" Type="http://schemas.openxmlformats.org/officeDocument/2006/relationships/hyperlink" Target="https://learn.microsoft.com/learn/paths/implement-network-security/" TargetMode="External"/><Relationship Id="rId95" Type="http://schemas.openxmlformats.org/officeDocument/2006/relationships/hyperlink" Target="https://learn.microsoft.com/azure/firewall/" TargetMode="External"/><Relationship Id="rId160" Type="http://schemas.openxmlformats.org/officeDocument/2006/relationships/hyperlink" Target="https://learn.microsoft.com/azure/azure-monitor/alerts/action-groups" TargetMode="External"/><Relationship Id="rId216" Type="http://schemas.openxmlformats.org/officeDocument/2006/relationships/hyperlink" Target="https://learn.microsoft.com/learn/paths/secure-application-delivery/" TargetMode="External"/><Relationship Id="rId258" Type="http://schemas.openxmlformats.org/officeDocument/2006/relationships/hyperlink" Target="https://learn.microsoft.com/azure/key-vault/general/best-practices" TargetMode="External"/><Relationship Id="rId22" Type="http://schemas.openxmlformats.org/officeDocument/2006/relationships/hyperlink" Target="https://learn.microsoft.com/azure/active-directory/conditional-access/overview" TargetMode="External"/><Relationship Id="rId64" Type="http://schemas.openxmlformats.org/officeDocument/2006/relationships/hyperlink" Target="https://learn.microsoft.com/azure/azure-monitor/insights/network-insights-overview" TargetMode="External"/><Relationship Id="rId118" Type="http://schemas.openxmlformats.org/officeDocument/2006/relationships/hyperlink" Target="https://learn.microsoft.com/azure/virtual-network/service-tags-overview" TargetMode="External"/><Relationship Id="rId325" Type="http://schemas.openxmlformats.org/officeDocument/2006/relationships/ctrlProp" Target="../ctrlProps/ctrlProp5.xml"/><Relationship Id="rId171" Type="http://schemas.openxmlformats.org/officeDocument/2006/relationships/hyperlink" Target="https://learn.microsoft.com/azure/backup/backup-center-overview" TargetMode="External"/><Relationship Id="rId227" Type="http://schemas.openxmlformats.org/officeDocument/2006/relationships/hyperlink" Target="https://learn.microsoft.com/learn/paths/secure-networking-infrastructure/" TargetMode="External"/><Relationship Id="rId269" Type="http://schemas.openxmlformats.org/officeDocument/2006/relationships/hyperlink" Target="https://learn.microsoft.com/en-us/azure/active-directory/roles/security-planning" TargetMode="External"/><Relationship Id="rId33" Type="http://schemas.openxmlformats.org/officeDocument/2006/relationships/hyperlink" Target="https://learn.microsoft.com/azure/active-directory/roles/best-practices" TargetMode="External"/><Relationship Id="rId129" Type="http://schemas.openxmlformats.org/officeDocument/2006/relationships/hyperlink" Target="https://learn.microsoft.com/azure/azure-resource-manager/management/azure-subscription-service-limits" TargetMode="External"/><Relationship Id="rId280" Type="http://schemas.openxmlformats.org/officeDocument/2006/relationships/hyperlink" Target="https://learn.microsoft.com/learn/paths/manage-identity-and-access/" TargetMode="External"/><Relationship Id="rId75" Type="http://schemas.openxmlformats.org/officeDocument/2006/relationships/hyperlink" Target="https://learn.microsoft.com/azure/expressroute/about-fastpath" TargetMode="External"/><Relationship Id="rId140" Type="http://schemas.openxmlformats.org/officeDocument/2006/relationships/hyperlink" Target="https://learn.microsoft.com/azure/governance/policy/overview" TargetMode="External"/><Relationship Id="rId182" Type="http://schemas.openxmlformats.org/officeDocument/2006/relationships/hyperlink" Target="https://learn.microsoft.com/azure/key-vault/general/best-practices" TargetMode="External"/><Relationship Id="rId6" Type="http://schemas.openxmlformats.org/officeDocument/2006/relationships/hyperlink" Target="https://learn.microsoft.com/azure/cloud-adoption-framework/ready/landing-zone/design-area/azure-billing-microsoft-customer-agreement" TargetMode="External"/><Relationship Id="rId238" Type="http://schemas.openxmlformats.org/officeDocument/2006/relationships/hyperlink" Target="https://learn.microsoft.com/azure/cloud-adoption-framework/ready/considerations/development-strategy-development-lifecycle" TargetMode="External"/><Relationship Id="rId291" Type="http://schemas.openxmlformats.org/officeDocument/2006/relationships/hyperlink" Target="https://learn.microsoft.com/learn/modules/design-implement-network-monitoring/" TargetMode="External"/><Relationship Id="rId305" Type="http://schemas.openxmlformats.org/officeDocument/2006/relationships/hyperlink" Target="https://learn.microsoft.com/learn/paths/secure-networking-infrastructure/" TargetMode="External"/><Relationship Id="rId44" Type="http://schemas.openxmlformats.org/officeDocument/2006/relationships/hyperlink" Target="https://learn.microsoft.com/azure/governance/management-groups/overview" TargetMode="External"/><Relationship Id="rId86" Type="http://schemas.openxmlformats.org/officeDocument/2006/relationships/hyperlink" Target="https://learn.microsoft.com/azure/site-recovery/concepts-on-premises-to-azure-networking" TargetMode="External"/><Relationship Id="rId151" Type="http://schemas.openxmlformats.org/officeDocument/2006/relationships/hyperlink" Target="https://learn.microsoft.com/azure/azure-monitor/logs/design-logs-deployment" TargetMode="External"/><Relationship Id="rId193" Type="http://schemas.openxmlformats.org/officeDocument/2006/relationships/hyperlink" Target="https://www.microsoft.com/en-gb/security/business/solutions/cloud-workload-protection" TargetMode="External"/><Relationship Id="rId207" Type="http://schemas.openxmlformats.org/officeDocument/2006/relationships/hyperlink" Target="https://learn.microsoft.com/learn/modules/design-identity-security-strategy/" TargetMode="External"/><Relationship Id="rId249" Type="http://schemas.openxmlformats.org/officeDocument/2006/relationships/hyperlink" Target="https://www.microsoft.com/security/business/zero-trust" TargetMode="External"/><Relationship Id="rId13" Type="http://schemas.openxmlformats.org/officeDocument/2006/relationships/hyperlink" Target="https://learn.microsoft.com/azure/cost-management-billing/manage/mca-section-invoice" TargetMode="External"/><Relationship Id="rId109" Type="http://schemas.openxmlformats.org/officeDocument/2006/relationships/hyperlink" Target="https://learn.microsoft.com/azure/app-service/networking-features" TargetMode="External"/><Relationship Id="rId260" Type="http://schemas.openxmlformats.org/officeDocument/2006/relationships/hyperlink" Target="https://learn.microsoft.com/azure/key-vault/general/best-practices" TargetMode="External"/><Relationship Id="rId316" Type="http://schemas.openxmlformats.org/officeDocument/2006/relationships/hyperlink" Target="https://learn.microsoft.com/learn/paths/implement-resource-mgmt-security/" TargetMode="External"/><Relationship Id="rId55" Type="http://schemas.openxmlformats.org/officeDocument/2006/relationships/hyperlink" Target="https://learn.microsoft.com/azure/web-application-firewall/ag/ag-overview" TargetMode="External"/><Relationship Id="rId97" Type="http://schemas.openxmlformats.org/officeDocument/2006/relationships/hyperlink" Target="https://learn.microsoft.com/azure/web-application-firewall/ag/ag-overview" TargetMode="External"/><Relationship Id="rId120" Type="http://schemas.openxmlformats.org/officeDocument/2006/relationships/hyperlink" Target="https://learn.microsoft.com/azure/web-application-firewall/ag/ag-overview"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5C3FBF-2D65-44F3-AF2A-1C07141BA112}">
  <sheetPr codeName="Sheet3"/>
  <dimension ref="A1:U246"/>
  <sheetViews>
    <sheetView zoomScale="80" zoomScaleNormal="80" workbookViewId="0">
      <selection activeCell="H9" sqref="H9"/>
    </sheetView>
  </sheetViews>
  <sheetFormatPr defaultRowHeight="15"/>
  <cols>
    <col min="1" max="1" width="28.28515625" customWidth="1"/>
    <col min="4" max="4" width="15" customWidth="1"/>
    <col min="5" max="6" width="12.85546875" customWidth="1"/>
  </cols>
  <sheetData>
    <row r="1" spans="1:15" ht="37.5">
      <c r="D1" s="18" t="s">
        <v>21</v>
      </c>
      <c r="E1" s="18" t="s">
        <v>22</v>
      </c>
      <c r="F1" s="18"/>
    </row>
    <row r="2" spans="1:15" ht="31.5">
      <c r="A2" s="13" t="s">
        <v>12</v>
      </c>
      <c r="D2" s="17">
        <f>IF($T$29=0,0,1-$Q$29/$T$29)</f>
        <v>0</v>
      </c>
      <c r="E2" s="17">
        <f>IF(T29=0,0,R29/T29)</f>
        <v>0</v>
      </c>
      <c r="F2" s="17"/>
    </row>
    <row r="5" spans="1:15">
      <c r="B5" s="12" t="str">
        <f>Values!$B$2</f>
        <v>Not verified</v>
      </c>
      <c r="C5" s="12" t="str">
        <f>Values!$B$3</f>
        <v>Open</v>
      </c>
      <c r="D5" s="12" t="str">
        <f>Values!$B$4</f>
        <v>Fulfilled</v>
      </c>
      <c r="E5" s="12" t="str">
        <f>Values!$B$5</f>
        <v>Not required</v>
      </c>
      <c r="F5" s="12" t="str">
        <f>Values!$B$6</f>
        <v>N/A</v>
      </c>
      <c r="J5" s="12" t="str">
        <f>Values!$B$2</f>
        <v>Not verified</v>
      </c>
      <c r="K5" s="12" t="str">
        <f>Values!$B$3</f>
        <v>Open</v>
      </c>
      <c r="L5" s="12" t="str">
        <f>Values!$B$4</f>
        <v>Fulfilled</v>
      </c>
      <c r="M5" s="12" t="str">
        <f>Values!$B$5</f>
        <v>Not required</v>
      </c>
      <c r="N5" s="12" t="str">
        <f>Values!$B$6</f>
        <v>N/A</v>
      </c>
      <c r="O5" s="12" t="s">
        <v>14</v>
      </c>
    </row>
    <row r="6" spans="1:15">
      <c r="A6" s="12" t="str">
        <f>Values!A2</f>
        <v>High</v>
      </c>
      <c r="B6" cm="1">
        <f t="array" ref="B6">SUMPRODUCT(--(Checklist!$G$10:$K$487=$A6)*--(Checklist!$H$10:$H$487=B$5))</f>
        <v>53</v>
      </c>
      <c r="C6" cm="1">
        <f t="array" ref="C6">SUMPRODUCT(--(Checklist!$G$10:$K$487=$A6)*--(Checklist!$H$10:$H$487=C$5))</f>
        <v>0</v>
      </c>
      <c r="D6" cm="1">
        <f t="array" ref="D6">SUMPRODUCT(--(Checklist!$G$10:$K$487=$A6)*--(Checklist!$H$10:$H$487=D$5))</f>
        <v>0</v>
      </c>
      <c r="E6" cm="1">
        <f t="array" ref="E6">SUMPRODUCT(--(Checklist!$G$10:$K$487=$A6)*--(Checklist!$H$10:$H$487=E$5))</f>
        <v>0</v>
      </c>
      <c r="F6" cm="1">
        <f t="array" ref="F6">SUMPRODUCT(--(Checklist!$G$10:$K$487=$A6)*--(Checklist!$H$10:$H$487=F$5))</f>
        <v>0</v>
      </c>
      <c r="G6">
        <f>SUM(B6:F6)</f>
        <v>53</v>
      </c>
      <c r="I6" s="12" t="str">
        <f>IF(Values!$C2="","",Values!$C2)</f>
        <v>Azure Billing and Microsoft Entra ID Tenants</v>
      </c>
      <c r="J6" cm="1">
        <f t="array" ref="J6">IF($I6="","",SUMPRODUCT(--(Checklist!$B$10:$B$487=$I6)*--(Checklist!$H$10:$H$487=J$5)))</f>
        <v>16</v>
      </c>
      <c r="K6" cm="1">
        <f t="array" ref="K6">IF($I6="","",SUMPRODUCT(--(Checklist!$B$10:$B$487=$I6)*--(Checklist!$H$10:$H$487=K$5)))</f>
        <v>0</v>
      </c>
      <c r="L6" cm="1">
        <f t="array" ref="L6">IF($I6="","",SUMPRODUCT(--(Checklist!$B$10:$B$487=$I6)*--(Checklist!$H$10:$H$487=L$5)))</f>
        <v>0</v>
      </c>
      <c r="M6" cm="1">
        <f t="array" ref="M6">IF($I6="","",SUMPRODUCT(--(Checklist!$B$10:$B$487=$I6)*--(Checklist!$H$10:$H$487=M$5)))</f>
        <v>0</v>
      </c>
      <c r="N6" cm="1">
        <f t="array" ref="N6">IF($I6="","",SUMPRODUCT(--(Checklist!$B$10:$B$487=$I6)*--(Checklist!$H$10:$H$487=N$5)))</f>
        <v>0</v>
      </c>
      <c r="O6">
        <f>IF($I6="","",SUM(J6:N6))</f>
        <v>16</v>
      </c>
    </row>
    <row r="7" spans="1:15">
      <c r="A7" s="12" t="str">
        <f>Values!A3</f>
        <v>Medium</v>
      </c>
      <c r="B7" cm="1">
        <f t="array" ref="B7">SUMPRODUCT(--(Checklist!$G$10:$K$487=$A7)*--(Checklist!$H$10:$H$487=B$5))</f>
        <v>134</v>
      </c>
      <c r="C7" cm="1">
        <f t="array" ref="C7">SUMPRODUCT(--(Checklist!$G$10:$K$487=$A7)*--(Checklist!$H$10:$H$487=C$5))</f>
        <v>0</v>
      </c>
      <c r="D7" cm="1">
        <f t="array" ref="D7">SUMPRODUCT(--(Checklist!$G$10:$K$487=$A7)*--(Checklist!$H$10:$H$487=D$5))</f>
        <v>0</v>
      </c>
      <c r="E7" cm="1">
        <f t="array" ref="E7">SUMPRODUCT(--(Checklist!$G$10:$K$487=$A7)*--(Checklist!$H$10:$H$487=E$5))</f>
        <v>0</v>
      </c>
      <c r="F7" cm="1">
        <f t="array" ref="F7">SUMPRODUCT(--(Checklist!$G$10:$K$487=$A7)*--(Checklist!$H$10:$H$487=F$5))</f>
        <v>0</v>
      </c>
      <c r="G7">
        <f>SUM(B7:F7)</f>
        <v>134</v>
      </c>
      <c r="I7" s="12" t="str">
        <f>IF(Values!$C3="","",Values!$C3)</f>
        <v>Identity and Access Management</v>
      </c>
      <c r="J7" cm="1">
        <f t="array" ref="J7">IF($I7="","",SUMPRODUCT(--(Checklist!$B$10:$B$487=$I7)*--(Checklist!$H$10:$H$487=J$5)))</f>
        <v>20</v>
      </c>
      <c r="K7" cm="1">
        <f t="array" ref="K7">IF($I7="","",SUMPRODUCT(--(Checklist!$B$10:$B$487=$I7)*--(Checklist!$H$10:$H$487=K$5)))</f>
        <v>0</v>
      </c>
      <c r="L7" cm="1">
        <f t="array" ref="L7">IF($I7="","",SUMPRODUCT(--(Checklist!$B$10:$B$487=$I7)*--(Checklist!$H$10:$H$487=L$5)))</f>
        <v>0</v>
      </c>
      <c r="M7" cm="1">
        <f t="array" ref="M7">IF($I7="","",SUMPRODUCT(--(Checklist!$B$10:$B$487=$I7)*--(Checklist!$H$10:$H$487=M$5)))</f>
        <v>0</v>
      </c>
      <c r="N7" cm="1">
        <f t="array" ref="N7">IF($I7="","",SUMPRODUCT(--(Checklist!$B$10:$B$487=$I7)*--(Checklist!$H$10:$H$487=N$5)))</f>
        <v>0</v>
      </c>
      <c r="O7">
        <f t="shared" ref="O7:O13" si="0">IF($I7="","",SUM(J7:N7))</f>
        <v>20</v>
      </c>
    </row>
    <row r="8" spans="1:15">
      <c r="A8" s="12" t="str">
        <f>Values!A4</f>
        <v>Low</v>
      </c>
      <c r="B8" cm="1">
        <f t="array" ref="B8">SUMPRODUCT(--(Checklist!$G$10:$K$487=$A8)*--(Checklist!$H$10:$H$487=B$5))</f>
        <v>25</v>
      </c>
      <c r="C8" cm="1">
        <f t="array" ref="C8">SUMPRODUCT(--(Checklist!$G$10:$K$487=$A8)*--(Checklist!$H$10:$H$487=C$5))</f>
        <v>0</v>
      </c>
      <c r="D8" cm="1">
        <f t="array" ref="D8">SUMPRODUCT(--(Checklist!$G$10:$K$487=$A8)*--(Checklist!$H$10:$H$487=D$5))</f>
        <v>0</v>
      </c>
      <c r="E8" cm="1">
        <f t="array" ref="E8">SUMPRODUCT(--(Checklist!$G$10:$K$487=$A8)*--(Checklist!$H$10:$H$487=E$5))</f>
        <v>0</v>
      </c>
      <c r="F8" cm="1">
        <f t="array" ref="F8">SUMPRODUCT(--(Checklist!$G$10:$K$487=$A8)*--(Checklist!$H$10:$H$487=F$5))</f>
        <v>0</v>
      </c>
      <c r="G8">
        <f>SUM(B8:F8)</f>
        <v>25</v>
      </c>
      <c r="I8" s="12" t="str">
        <f>IF(Values!$C4="","",Values!$C4)</f>
        <v>Network Topology and Connectivity</v>
      </c>
      <c r="J8" cm="1">
        <f t="array" ref="J8">IF($I8="","",SUMPRODUCT(--(Checklist!$B$10:$B$487=$I8)*--(Checklist!$H$10:$H$487=J$5)))</f>
        <v>76</v>
      </c>
      <c r="K8" cm="1">
        <f t="array" ref="K8">IF($I8="","",SUMPRODUCT(--(Checklist!$B$10:$B$487=$I8)*--(Checklist!$H$10:$H$487=K$5)))</f>
        <v>0</v>
      </c>
      <c r="L8" cm="1">
        <f t="array" ref="L8">IF($I8="","",SUMPRODUCT(--(Checklist!$B$10:$B$487=$I8)*--(Checklist!$H$10:$H$487=L$5)))</f>
        <v>0</v>
      </c>
      <c r="M8" cm="1">
        <f t="array" ref="M8">IF($I8="","",SUMPRODUCT(--(Checklist!$B$10:$B$487=$I8)*--(Checklist!$H$10:$H$487=M$5)))</f>
        <v>0</v>
      </c>
      <c r="N8" cm="1">
        <f t="array" ref="N8">IF($I8="","",SUMPRODUCT(--(Checklist!$B$10:$B$487=$I8)*--(Checklist!$H$10:$H$487=N$5)))</f>
        <v>0</v>
      </c>
      <c r="O8">
        <f t="shared" si="0"/>
        <v>76</v>
      </c>
    </row>
    <row r="9" spans="1:15">
      <c r="B9">
        <f t="shared" ref="B9:G9" si="1">SUM(B6:B8)</f>
        <v>212</v>
      </c>
      <c r="C9">
        <f t="shared" si="1"/>
        <v>0</v>
      </c>
      <c r="D9">
        <f t="shared" si="1"/>
        <v>0</v>
      </c>
      <c r="E9">
        <f t="shared" si="1"/>
        <v>0</v>
      </c>
      <c r="F9">
        <f t="shared" si="1"/>
        <v>0</v>
      </c>
      <c r="G9" s="12">
        <f t="shared" si="1"/>
        <v>212</v>
      </c>
      <c r="I9" s="12" t="str">
        <f>IF(Values!$C5="","",Values!$C5)</f>
        <v>Security</v>
      </c>
      <c r="J9" cm="1">
        <f t="array" ref="J9">IF($I9="","",SUMPRODUCT(--(Checklist!$B$10:$B$487=$I9)*--(Checklist!$H$10:$H$487=J$5)))</f>
        <v>27</v>
      </c>
      <c r="K9" cm="1">
        <f t="array" ref="K9">IF($I9="","",SUMPRODUCT(--(Checklist!$B$10:$B$487=$I9)*--(Checklist!$H$10:$H$487=K$5)))</f>
        <v>0</v>
      </c>
      <c r="L9" cm="1">
        <f t="array" ref="L9">IF($I9="","",SUMPRODUCT(--(Checklist!$B$10:$B$487=$I9)*--(Checklist!$H$10:$H$487=L$5)))</f>
        <v>0</v>
      </c>
      <c r="M9" cm="1">
        <f t="array" ref="M9">IF($I9="","",SUMPRODUCT(--(Checklist!$B$10:$B$487=$I9)*--(Checklist!$H$10:$H$487=M$5)))</f>
        <v>0</v>
      </c>
      <c r="N9" cm="1">
        <f t="array" ref="N9">IF($I9="","",SUMPRODUCT(--(Checklist!$B$10:$B$487=$I9)*--(Checklist!$H$10:$H$487=N$5)))</f>
        <v>0</v>
      </c>
      <c r="O9">
        <f t="shared" si="0"/>
        <v>27</v>
      </c>
    </row>
    <row r="10" spans="1:15">
      <c r="I10" s="12" t="str">
        <f>IF(Values!$C6="","",Values!$C6)</f>
        <v>Management</v>
      </c>
      <c r="J10" cm="1">
        <f t="array" ref="J10">IF($I10="","",SUMPRODUCT(--(Checklist!$B$10:$B$487=$I10)*--(Checklist!$H$10:$H$487=J$5)))</f>
        <v>27</v>
      </c>
      <c r="K10" s="43" cm="1">
        <f t="array" ref="K10">IF($I10="","",SUMPRODUCT(--(Checklist!$B$10:$B$487=$I10)*--(Checklist!$H$10:$H$487=K$5)))</f>
        <v>0</v>
      </c>
      <c r="L10" cm="1">
        <f t="array" ref="L10">IF($I10="","",SUMPRODUCT(--(Checklist!$B$10:$B$487=$I10)*--(Checklist!$H$10:$H$487=L$5)))</f>
        <v>0</v>
      </c>
      <c r="M10" cm="1">
        <f t="array" ref="M10">IF($I10="","",SUMPRODUCT(--(Checklist!$B$10:$B$487=$I10)*--(Checklist!$H$10:$H$487=M$5)))</f>
        <v>0</v>
      </c>
      <c r="N10" cm="1">
        <f t="array" ref="N10">IF($I10="","",SUMPRODUCT(--(Checklist!$B$10:$B$487=$I10)*--(Checklist!$H$10:$H$487=N$5)))</f>
        <v>0</v>
      </c>
      <c r="O10">
        <f t="shared" si="0"/>
        <v>27</v>
      </c>
    </row>
    <row r="11" spans="1:15">
      <c r="I11" s="12" t="str">
        <f>IF(Values!$C7="","",Values!$C7)</f>
        <v>Resource Organization</v>
      </c>
      <c r="J11" cm="1">
        <f t="array" ref="J11">IF($I11="","",SUMPRODUCT(--(Checklist!$B$10:$B$487=$I11)*--(Checklist!$H$10:$H$487=J$5)))</f>
        <v>18</v>
      </c>
      <c r="K11" s="43" cm="1">
        <f t="array" ref="K11">IF($I11="","",SUMPRODUCT(--(Checklist!$B$10:$B$487=$I11)*--(Checklist!$H$10:$H$487=K$5)))</f>
        <v>0</v>
      </c>
      <c r="L11" cm="1">
        <f t="array" ref="L11">IF($I11="","",SUMPRODUCT(--(Checklist!$B$10:$B$487=$I11)*--(Checklist!$H$10:$H$487=L$5)))</f>
        <v>0</v>
      </c>
      <c r="M11" cm="1">
        <f t="array" ref="M11">IF($I11="","",SUMPRODUCT(--(Checklist!$B$10:$B$487=$I11)*--(Checklist!$H$10:$H$487=M$5)))</f>
        <v>0</v>
      </c>
      <c r="N11" cm="1">
        <f t="array" ref="N11">IF($I11="","",SUMPRODUCT(--(Checklist!$B$10:$B$487=$I11)*--(Checklist!$H$10:$H$487=N$5)))</f>
        <v>0</v>
      </c>
      <c r="O11">
        <f t="shared" si="0"/>
        <v>18</v>
      </c>
    </row>
    <row r="12" spans="1:15">
      <c r="I12" s="12" t="str">
        <f>IF(Values!$C8="","",Values!$C8)</f>
        <v>Platform Automation and DevOps</v>
      </c>
      <c r="J12" cm="1">
        <f t="array" ref="J12">IF($I12="","",SUMPRODUCT(--(Checklist!$B$10:$B$487=$I12)*--(Checklist!$H$10:$H$487=J$5)))</f>
        <v>12</v>
      </c>
      <c r="K12" s="43" cm="1">
        <f t="array" ref="K12">IF($I12="","",SUMPRODUCT(--(Checklist!$B$10:$B$487=$I12)*--(Checklist!$H$10:$H$487=K$5)))</f>
        <v>0</v>
      </c>
      <c r="L12" cm="1">
        <f t="array" ref="L12">IF($I12="","",SUMPRODUCT(--(Checklist!$B$10:$B$487=$I12)*--(Checklist!$H$10:$H$487=L$5)))</f>
        <v>0</v>
      </c>
      <c r="M12" cm="1">
        <f t="array" ref="M12">IF($I12="","",SUMPRODUCT(--(Checklist!$B$10:$B$487=$I12)*--(Checklist!$H$10:$H$487=M$5)))</f>
        <v>0</v>
      </c>
      <c r="N12" cm="1">
        <f t="array" ref="N12">IF($I12="","",SUMPRODUCT(--(Checklist!$B$10:$B$487=$I12)*--(Checklist!$H$10:$H$487=N$5)))</f>
        <v>0</v>
      </c>
      <c r="O12">
        <f t="shared" si="0"/>
        <v>12</v>
      </c>
    </row>
    <row r="13" spans="1:15">
      <c r="I13" s="12" t="str">
        <f>IF(Values!$C9="","",Values!$C9)</f>
        <v>Governance</v>
      </c>
      <c r="J13" cm="1">
        <f t="array" ref="J13">IF($I13="","",SUMPRODUCT(--(Checklist!$B$10:$B$487=$I13)*--(Checklist!$H$10:$H$487=J$5)))</f>
        <v>12</v>
      </c>
      <c r="K13" s="43" cm="1">
        <f t="array" ref="K13">IF($I13="","",SUMPRODUCT(--(Checklist!$B$10:$B$487=$I13)*--(Checklist!$H$10:$H$487=K$5)))</f>
        <v>0</v>
      </c>
      <c r="L13" cm="1">
        <f t="array" ref="L13">IF($I13="","",SUMPRODUCT(--(Checklist!$B$10:$B$487=$I13)*--(Checklist!$H$10:$H$487=L$5)))</f>
        <v>0</v>
      </c>
      <c r="M13" cm="1">
        <f t="array" ref="M13">IF($I13="","",SUMPRODUCT(--(Checklist!$B$10:$B$487=$I13)*--(Checklist!$H$10:$H$487=M$5)))</f>
        <v>0</v>
      </c>
      <c r="N13" cm="1">
        <f t="array" ref="N13">IF($I13="","",SUMPRODUCT(--(Checklist!$B$10:$B$487=$I13)*--(Checklist!$H$10:$H$487=N$5)))</f>
        <v>0</v>
      </c>
      <c r="O13">
        <f t="shared" si="0"/>
        <v>12</v>
      </c>
    </row>
    <row r="14" spans="1:15">
      <c r="J14">
        <f t="shared" ref="J14:O14" si="2">SUM(J6:J13)</f>
        <v>208</v>
      </c>
      <c r="K14" s="43">
        <f t="shared" si="2"/>
        <v>0</v>
      </c>
      <c r="L14">
        <f t="shared" si="2"/>
        <v>0</v>
      </c>
      <c r="M14">
        <f t="shared" si="2"/>
        <v>0</v>
      </c>
      <c r="N14">
        <f t="shared" si="2"/>
        <v>0</v>
      </c>
      <c r="O14" s="12">
        <f t="shared" si="2"/>
        <v>208</v>
      </c>
    </row>
    <row r="15" spans="1:15">
      <c r="K15" s="43"/>
    </row>
    <row r="16" spans="1:15">
      <c r="K16" s="43"/>
    </row>
    <row r="17" spans="11:21">
      <c r="K17" s="43"/>
    </row>
    <row r="18" spans="11:21">
      <c r="K18" s="43"/>
    </row>
    <row r="19" spans="11:21">
      <c r="K19" s="43"/>
    </row>
    <row r="20" spans="11:21">
      <c r="K20" s="43"/>
      <c r="P20" s="12" t="s">
        <v>13</v>
      </c>
      <c r="Q20" s="12" t="str">
        <f>Values!$B$2</f>
        <v>Not verified</v>
      </c>
      <c r="R20" s="12" t="str">
        <f>Values!$B$3</f>
        <v>Open</v>
      </c>
      <c r="S20" s="12" t="s">
        <v>16</v>
      </c>
      <c r="T20" s="12" t="s">
        <v>14</v>
      </c>
      <c r="U20" s="12" t="s">
        <v>15</v>
      </c>
    </row>
    <row r="21" spans="11:21">
      <c r="K21" s="43"/>
      <c r="P21" s="12" t="str">
        <f>IF(Values!$C2="","",Values!$C2)</f>
        <v>Azure Billing and Microsoft Entra ID Tenants</v>
      </c>
      <c r="Q21" cm="1">
        <f t="array" ref="Q21">IF($P21="","",SUMPRODUCT(--(Checklist!$B$10:$B$487=$P21)*--(Checklist!$H$10:$H$487=Q$20)))</f>
        <v>16</v>
      </c>
      <c r="R21" cm="1">
        <f t="array" ref="R21">IF($P21="","",SUMPRODUCT(--(Checklist!$B$10:$B$487=$P21)*--(Checklist!$H$10:$H$487=R$20)))</f>
        <v>0</v>
      </c>
      <c r="S21" cm="1">
        <f t="array" ref="S21">IF($P21="","",SUMPRODUCT(--(Checklist!$B$10:$B$487=$P21)*(--(Checklist!$H$10:$H$487=Values!$B$4)+--(Checklist!$H$10:$H$487=Values!$B$5)+--(Checklist!$H$10:$H$487=Values!$B$6))))</f>
        <v>0</v>
      </c>
      <c r="T21">
        <f>IF($P21="","",SUM(Q21:S21))</f>
        <v>16</v>
      </c>
      <c r="U21" s="14">
        <f>IF($P21="","",IF(T21=0,0,S21/T21))</f>
        <v>0</v>
      </c>
    </row>
    <row r="22" spans="11:21">
      <c r="K22" s="43"/>
      <c r="P22" s="12" t="str">
        <f>IF(Values!$C3="","",Values!$C3)</f>
        <v>Identity and Access Management</v>
      </c>
      <c r="Q22" cm="1">
        <f t="array" ref="Q22">IF($P22="","",SUMPRODUCT(--(Checklist!$B$10:$B$487=$P22)*--(Checklist!$H$10:$H$487=Q$20)))</f>
        <v>20</v>
      </c>
      <c r="R22" cm="1">
        <f t="array" ref="R22">IF($P22="","",SUMPRODUCT(--(Checklist!$B$10:$B$487=$P22)*--(Checklist!$H$10:$H$487=R$20)))</f>
        <v>0</v>
      </c>
      <c r="S22" cm="1">
        <f t="array" ref="S22">IF($P22="","",SUMPRODUCT(--(Checklist!$B$10:$B$487=$P22)*(--(Checklist!$H$10:$H$487=Values!$B$4)+--(Checklist!$H$10:$H$487=Values!$B$5)+--(Checklist!$H$10:$H$487=Values!$B$6))))</f>
        <v>0</v>
      </c>
      <c r="T22">
        <f t="shared" ref="T22:T27" si="3">IF($P22="","",SUM(Q22:S22))</f>
        <v>20</v>
      </c>
      <c r="U22" s="14">
        <f t="shared" ref="U22:U28" si="4">IF($P22="","",IF(T22=0,0,S22/T22))</f>
        <v>0</v>
      </c>
    </row>
    <row r="23" spans="11:21">
      <c r="K23" s="43"/>
      <c r="P23" s="12" t="str">
        <f>IF(Values!$C4="","",Values!$C4)</f>
        <v>Network Topology and Connectivity</v>
      </c>
      <c r="Q23" cm="1">
        <f t="array" ref="Q23">IF($P23="","",SUMPRODUCT(--(Checklist!$B$10:$B$487=$P23)*--(Checklist!$H$10:$H$487=Q$20)))</f>
        <v>76</v>
      </c>
      <c r="R23" cm="1">
        <f t="array" ref="R23">IF($P23="","",SUMPRODUCT(--(Checklist!$B$10:$B$487=$P23)*--(Checklist!$H$10:$H$487=R$20)))</f>
        <v>0</v>
      </c>
      <c r="S23" cm="1">
        <f t="array" ref="S23">IF($P23="","",SUMPRODUCT(--(Checklist!$B$10:$B$487=$P23)*(--(Checklist!$H$10:$H$487=Values!$B$4)+--(Checklist!$H$10:$H$487=Values!$B$5)+--(Checklist!$H$10:$H$487=Values!$B$6))))</f>
        <v>0</v>
      </c>
      <c r="T23">
        <f t="shared" si="3"/>
        <v>76</v>
      </c>
      <c r="U23" s="14">
        <f t="shared" si="4"/>
        <v>0</v>
      </c>
    </row>
    <row r="24" spans="11:21">
      <c r="K24" s="43"/>
      <c r="P24" s="12" t="str">
        <f>IF(Values!$C5="","",Values!$C5)</f>
        <v>Security</v>
      </c>
      <c r="Q24" cm="1">
        <f t="array" ref="Q24">IF($P24="","",SUMPRODUCT(--(Checklist!$B$10:$B$487=$P24)*--(Checklist!$H$10:$H$487=Q$20)))</f>
        <v>27</v>
      </c>
      <c r="R24" cm="1">
        <f t="array" ref="R24">IF($P24="","",SUMPRODUCT(--(Checklist!$B$10:$B$487=$P24)*--(Checklist!$H$10:$H$487=R$20)))</f>
        <v>0</v>
      </c>
      <c r="S24" cm="1">
        <f t="array" ref="S24">IF($P24="","",SUMPRODUCT(--(Checklist!$B$10:$B$487=$P24)*(--(Checklist!$H$10:$H$487=Values!$B$4)+--(Checklist!$H$10:$H$487=Values!$B$5)+--(Checklist!$H$10:$H$487=Values!$B$6))))</f>
        <v>0</v>
      </c>
      <c r="T24">
        <f t="shared" si="3"/>
        <v>27</v>
      </c>
      <c r="U24" s="14">
        <f t="shared" si="4"/>
        <v>0</v>
      </c>
    </row>
    <row r="25" spans="11:21">
      <c r="K25" s="43"/>
      <c r="P25" s="12" t="str">
        <f>IF(Values!$C6="","",Values!$C6)</f>
        <v>Management</v>
      </c>
      <c r="Q25" cm="1">
        <f t="array" ref="Q25">IF($P25="","",SUMPRODUCT(--(Checklist!$B$10:$B$487=$P25)*--(Checklist!$H$10:$H$487=Q$20)))</f>
        <v>27</v>
      </c>
      <c r="R25" cm="1">
        <f t="array" ref="R25">IF($P25="","",SUMPRODUCT(--(Checklist!$B$10:$B$487=$P25)*--(Checklist!$H$10:$H$487=R$20)))</f>
        <v>0</v>
      </c>
      <c r="S25" cm="1">
        <f t="array" ref="S25">IF($P25="","",SUMPRODUCT(--(Checklist!$B$10:$B$487=$P25)*(--(Checklist!$H$10:$H$487=Values!$B$4)+--(Checklist!$H$10:$H$487=Values!$B$5)+--(Checklist!$H$10:$H$487=Values!$B$6))))</f>
        <v>0</v>
      </c>
      <c r="T25">
        <f t="shared" si="3"/>
        <v>27</v>
      </c>
      <c r="U25" s="14">
        <f t="shared" si="4"/>
        <v>0</v>
      </c>
    </row>
    <row r="26" spans="11:21">
      <c r="K26" s="43"/>
      <c r="P26" s="12" t="str">
        <f>IF(Values!$C7="","",Values!$C7)</f>
        <v>Resource Organization</v>
      </c>
      <c r="Q26" cm="1">
        <f t="array" ref="Q26">IF($P26="","",SUMPRODUCT(--(Checklist!$B$10:$B$487=$P26)*--(Checklist!$H$10:$H$487=Q$20)))</f>
        <v>18</v>
      </c>
      <c r="R26" cm="1">
        <f t="array" ref="R26">IF($P26="","",SUMPRODUCT(--(Checklist!$B$10:$B$487=$P26)*--(Checklist!$H$10:$H$487=R$20)))</f>
        <v>0</v>
      </c>
      <c r="S26" cm="1">
        <f t="array" ref="S26">IF($P26="","",SUMPRODUCT(--(Checklist!$B$10:$B$487=$P26)*(--(Checklist!$H$10:$H$487=Values!$B$4)+--(Checklist!$H$10:$H$487=Values!$B$5)+--(Checklist!$H$10:$H$487=Values!$B$6))))</f>
        <v>0</v>
      </c>
      <c r="T26">
        <f t="shared" si="3"/>
        <v>18</v>
      </c>
      <c r="U26" s="14">
        <f t="shared" si="4"/>
        <v>0</v>
      </c>
    </row>
    <row r="27" spans="11:21">
      <c r="K27" s="43"/>
      <c r="P27" s="12" t="str">
        <f>IF(Values!$C8="","",Values!$C8)</f>
        <v>Platform Automation and DevOps</v>
      </c>
      <c r="Q27" cm="1">
        <f t="array" ref="Q27">IF($P27="","",SUMPRODUCT(--(Checklist!$B$10:$B$487=$P27)*--(Checklist!$H$10:$H$487=Q$20)))</f>
        <v>12</v>
      </c>
      <c r="R27" cm="1">
        <f t="array" ref="R27">IF($P27="","",SUMPRODUCT(--(Checklist!$B$10:$B$487=$P27)*--(Checklist!$H$10:$H$487=R$20)))</f>
        <v>0</v>
      </c>
      <c r="S27" cm="1">
        <f t="array" ref="S27">IF($P27="","",SUMPRODUCT(--(Checklist!$B$10:$B$487=$P27)*(--(Checklist!$H$10:$H$487=Values!$B$4)+--(Checklist!$H$10:$H$487=Values!$B$5)+--(Checklist!$H$10:$H$487=Values!$B$6))))</f>
        <v>0</v>
      </c>
      <c r="T27">
        <f t="shared" si="3"/>
        <v>12</v>
      </c>
      <c r="U27" s="14">
        <f t="shared" si="4"/>
        <v>0</v>
      </c>
    </row>
    <row r="28" spans="11:21">
      <c r="K28" s="43"/>
      <c r="P28" s="12" t="str">
        <f>IF(Values!$C9="","",Values!$C9)</f>
        <v>Governance</v>
      </c>
      <c r="Q28" cm="1">
        <f t="array" ref="Q28">IF($P28="","",SUMPRODUCT(--(Checklist!$B$10:$B$487=$P28)*--(Checklist!$H$10:$H$487=Q$20)))</f>
        <v>12</v>
      </c>
      <c r="R28" cm="1">
        <f t="array" ref="R28">IF($P28="","",SUMPRODUCT(--(Checklist!$B$10:$B$487=$P28)*--(Checklist!$H$10:$H$487=R$20)))</f>
        <v>0</v>
      </c>
      <c r="S28" cm="1">
        <f t="array" ref="S28">IF($P28="","",SUMPRODUCT(--(Checklist!$B$10:$B$487=$P28)*(--(Checklist!$H$10:$H$487=Values!$B$4)+--(Checklist!$H$10:$H$487=Values!$B$5)+--(Checklist!$H$10:$H$487=Values!$B$6))))</f>
        <v>0</v>
      </c>
      <c r="T28">
        <f>IF($P28="","",SUM(Q28:S28))</f>
        <v>12</v>
      </c>
      <c r="U28" s="14">
        <f t="shared" si="4"/>
        <v>0</v>
      </c>
    </row>
    <row r="29" spans="11:21">
      <c r="K29" s="43"/>
      <c r="Q29">
        <f>SUM(Q21:Q28)</f>
        <v>208</v>
      </c>
      <c r="R29">
        <f>SUM(R21:R28)</f>
        <v>0</v>
      </c>
      <c r="S29">
        <f>SUM(S21:S28)</f>
        <v>0</v>
      </c>
      <c r="T29" s="12">
        <f>SUM(T21:T28)</f>
        <v>208</v>
      </c>
      <c r="U29" s="15">
        <f>IF(T29=0,0,S29/T29)</f>
        <v>0</v>
      </c>
    </row>
    <row r="30" spans="11:21">
      <c r="K30" s="43"/>
    </row>
    <row r="31" spans="11:21">
      <c r="K31" s="43"/>
    </row>
    <row r="32" spans="11:21">
      <c r="K32" s="43"/>
    </row>
    <row r="33" spans="11:12">
      <c r="K33" s="43"/>
    </row>
    <row r="34" spans="11:12">
      <c r="K34" s="43"/>
    </row>
    <row r="35" spans="11:12">
      <c r="K35" s="43"/>
    </row>
    <row r="36" spans="11:12">
      <c r="K36" s="43"/>
    </row>
    <row r="37" spans="11:12">
      <c r="K37" s="43"/>
      <c r="L37" s="43"/>
    </row>
    <row r="38" spans="11:12">
      <c r="K38" s="43"/>
    </row>
    <row r="39" spans="11:12">
      <c r="K39" s="43"/>
      <c r="L39" s="43"/>
    </row>
    <row r="40" spans="11:12">
      <c r="K40" s="43"/>
    </row>
    <row r="41" spans="11:12">
      <c r="K41" s="43"/>
      <c r="L41" s="43"/>
    </row>
    <row r="42" spans="11:12">
      <c r="K42" s="43"/>
      <c r="L42" s="43"/>
    </row>
    <row r="43" spans="11:12">
      <c r="K43" s="43"/>
      <c r="L43" s="43"/>
    </row>
    <row r="44" spans="11:12">
      <c r="K44" s="43"/>
      <c r="L44" s="43"/>
    </row>
    <row r="45" spans="11:12">
      <c r="K45" s="43"/>
      <c r="L45" s="43"/>
    </row>
    <row r="46" spans="11:12">
      <c r="K46" s="43"/>
      <c r="L46" s="43"/>
    </row>
    <row r="47" spans="11:12">
      <c r="K47" s="43"/>
      <c r="L47" s="43"/>
    </row>
    <row r="48" spans="11:12">
      <c r="K48" s="43"/>
      <c r="L48" s="43"/>
    </row>
    <row r="49" spans="1:12">
      <c r="A49" s="12" t="s">
        <v>68</v>
      </c>
      <c r="K49" s="43"/>
      <c r="L49" s="43"/>
    </row>
    <row r="50" spans="1:12">
      <c r="B50" t="s">
        <v>65</v>
      </c>
      <c r="C50" t="s">
        <v>66</v>
      </c>
      <c r="D50" s="33" t="s">
        <v>67</v>
      </c>
      <c r="E50" t="s">
        <v>15</v>
      </c>
      <c r="K50" s="43"/>
      <c r="L50" s="43"/>
    </row>
    <row r="51" spans="1:12">
      <c r="A51" t="s">
        <v>58</v>
      </c>
      <c r="B51" s="33" cm="1">
        <f t="array" ref="B51">SUMPRODUCT(--(Checklist!$H$10:$H$299=Values!$B$4),Checklist!$O$10:$O$299,--(Checklist!$O$10:$O$299&lt;0))+SUMPRODUCT(--(Checklist!$H$10:$H$299=Values!$B$6),Checklist!$O$10:$O$299,--(Checklist!$O$10:$O$299&lt;0))+SUMPRODUCT(--(Checklist!$H$10:$H$299=Values!$B$3),Checklist!$O$10:$O$299,--(Checklist!$O$10:$O$299&lt;0))</f>
        <v>0</v>
      </c>
      <c r="C51" s="33" cm="1">
        <f t="array" ref="C51">SUMPRODUCT(--(Checklist!$H$10:$H$299=Values!$B$4),Checklist!$O$10:$O$299,--(Checklist!$O$10:$O$299&gt;0))+SUMPRODUCT(--(Checklist!$H$10:$H$299=Values!$B$6),Checklist!$O$10:$O$299,--(Checklist!$O$10:$O$299&gt;0))+SUMPRODUCT(--(Checklist!$H$10:$H$299=Values!$B$3),Checklist!$O$10:$O$299,--(Checklist!$O$10:$O$299&gt;0))</f>
        <v>0</v>
      </c>
      <c r="D51" s="33" cm="1">
        <f t="array" ref="D51">SUMPRODUCT(--(Checklist!$H$10:$H$299=Values!$B$4),Checklist!$O$10:$O$299)+SUMPRODUCT(--(Checklist!$H$10:$H$299=Values!$B$3),Checklist!$O$10:$O$299)</f>
        <v>0</v>
      </c>
      <c r="E51" s="14">
        <f>IF((C51-B51)=0,1,(D51-B51)/(C51-B51))</f>
        <v>1</v>
      </c>
      <c r="F51" s="14"/>
      <c r="K51" s="43"/>
      <c r="L51" s="43"/>
    </row>
    <row r="52" spans="1:12">
      <c r="A52" t="s">
        <v>61</v>
      </c>
      <c r="B52" s="33" cm="1">
        <f t="array" ref="B52">SUMPRODUCT(--(Checklist!$H$10:$H$299=Values!$B$4),Checklist!$P$10:$P$299,--(Checklist!$P$10:$P$299&lt;0))+SUMPRODUCT(--(Checklist!$H$10:$H$299=Values!$B$6),Checklist!$P$10:$P$299,--(Checklist!$P$10:$P$299&lt;0))+SUMPRODUCT(--(Checklist!$H$10:$H$299=Values!$B$3),Checklist!$P$10:$P$299,--(Checklist!$P$10:$P$299&lt;0))</f>
        <v>0</v>
      </c>
      <c r="C52" s="33" cm="1">
        <f t="array" ref="C52">SUMPRODUCT(--(Checklist!$H$10:$H$299=Values!$B$4),Checklist!$P$10:$P$299,--(Checklist!$P$10:$P$299&gt;0))+SUMPRODUCT(--(Checklist!$H$10:$H$299=Values!$B$6),Checklist!$P$10:$P$299,--(Checklist!$P$10:$P$299&gt;0))+SUMPRODUCT(--(Checklist!$H$10:$H$299=Values!$B$3),Checklist!$P$10:$P$299,--(Checklist!$P$10:$P$299&gt;0))</f>
        <v>0</v>
      </c>
      <c r="D52" s="33" cm="1">
        <f t="array" ref="D52">SUMPRODUCT(--(Checklist!$H$10:$H$299=Values!$B$4),Checklist!$P$10:$P$299)+SUMPRODUCT(--(Checklist!$H$10:$H$299=Values!$B$3),Checklist!$P$10:$P$299)</f>
        <v>0</v>
      </c>
      <c r="E52" s="14">
        <f t="shared" ref="E52:E55" si="5">IF((C52-B52)=0,1,(D52-B52)/(C52-B52))</f>
        <v>1</v>
      </c>
      <c r="F52" s="14"/>
      <c r="K52" s="43"/>
      <c r="L52" s="43"/>
    </row>
    <row r="53" spans="1:12">
      <c r="A53" t="s">
        <v>63</v>
      </c>
      <c r="B53" s="33" cm="1">
        <f t="array" ref="B53">SUMPRODUCT(--(Checklist!$H$10:$H$299=Values!$B$4),Checklist!$Q$10:$Q$299,--(Checklist!$Q$10:$Q$299&lt;0))+SUMPRODUCT(--(Checklist!$H$10:$H$299=Values!$B$6),Checklist!$Q$10:$Q$299,--(Checklist!$Q$10:$Q$299&lt;0))+SUMPRODUCT(--(Checklist!$H$10:$H$299=Values!$B$3),Checklist!$Q$10:$Q$299,--(Checklist!$Q$10:$Q$299&lt;0))</f>
        <v>0</v>
      </c>
      <c r="C53" s="33" cm="1">
        <f t="array" ref="C53">SUMPRODUCT(--(Checklist!$H$10:$H$299=Values!$B$4),Checklist!$Q$10:$Q$299,--(Checklist!$Q$10:$Q$299&gt;0))+SUMPRODUCT(--(Checklist!$H$10:$H$299=Values!$B$6),Checklist!$Q$10:$Q$299,--(Checklist!$Q$10:$Q$299&gt;0))+SUMPRODUCT(--(Checklist!$H$10:$H$299=Values!$B$3),Checklist!$Q$10:$Q$299,--(Checklist!$Q$10:$Q$299&gt;0))</f>
        <v>0</v>
      </c>
      <c r="D53" s="33" cm="1">
        <f t="array" ref="D53">SUMPRODUCT(--(Checklist!$H$10:$H$299=Values!$B$4),Checklist!$Q$10:$Q$299)+SUMPRODUCT(--(Checklist!$H$10:$H$299=Values!$B$3),Checklist!$Q$10:$Q$299)</f>
        <v>0</v>
      </c>
      <c r="E53" s="14">
        <f t="shared" si="5"/>
        <v>1</v>
      </c>
      <c r="F53" s="14"/>
      <c r="K53" s="43"/>
      <c r="L53" s="43"/>
    </row>
    <row r="54" spans="1:12">
      <c r="A54" t="s">
        <v>59</v>
      </c>
      <c r="B54" s="33" cm="1">
        <f t="array" ref="B54">SUMPRODUCT(--(Checklist!$H$10:$H$299=Values!$B$4),Checklist!$R$10:$R$299,--(Checklist!$R$10:$R$299&lt;0))+SUMPRODUCT(--(Checklist!$H$10:$H$299=Values!$B$6),Checklist!$R$10:$R$299,--(Checklist!$R$10:$R$299&lt;0))+SUMPRODUCT(--(Checklist!$H$10:$H$299=Values!$B$3),Checklist!$R$10:$R$299,--(Checklist!$R$10:$R$299&lt;0))</f>
        <v>0</v>
      </c>
      <c r="C54" s="33" cm="1">
        <f t="array" ref="C54">SUMPRODUCT(--(Checklist!$H$10:$H$299=Values!$B$4),Checklist!$R$10:$R$299,--(Checklist!$R$10:$R$299&gt;0))+SUMPRODUCT(--(Checklist!$H$10:$H$299=Values!$B$6),Checklist!$R$10:$R$299,--(Checklist!$R$10:$R$299&gt;0))+SUMPRODUCT(--(Checklist!$H$10:$H$299=Values!$B$3),Checklist!$R$10:$R$299,--(Checklist!$R$10:$R$299&gt;0))</f>
        <v>0</v>
      </c>
      <c r="D54" s="33" cm="1">
        <f t="array" ref="D54">SUMPRODUCT(--(Checklist!$H$10:$H$299=Values!$B$4),Checklist!$R$10:$R$299)+SUMPRODUCT(--(Checklist!$H$10:$H$299=Values!$B$3),Checklist!$R$10:$R$299)</f>
        <v>0</v>
      </c>
      <c r="E54" s="14">
        <f t="shared" si="5"/>
        <v>1</v>
      </c>
      <c r="F54" s="14"/>
      <c r="K54" s="43"/>
      <c r="L54" s="43"/>
    </row>
    <row r="55" spans="1:12">
      <c r="A55" t="s">
        <v>62</v>
      </c>
      <c r="B55" s="33" cm="1">
        <f t="array" ref="B55">SUMPRODUCT(--(Checklist!$H$10:$H$299=Values!$B$4),Checklist!$S$10:$S$299,--(Checklist!$S$10:$S$299&lt;0))+SUMPRODUCT(--(Checklist!$H$10:$H$299=Values!$B$6),Checklist!$S$10:$S$299,--(Checklist!$S$10:$S$299&lt;0))+SUMPRODUCT(--(Checklist!$H$10:$H$299=Values!$B$3),Checklist!$S$10:$S$299,--(Checklist!$S$10:$S$299&lt;0))</f>
        <v>0</v>
      </c>
      <c r="C55" s="33" cm="1">
        <f t="array" ref="C55">SUMPRODUCT(--(Checklist!$H$10:$H$299=Values!$B$4),Checklist!$S$10:$S$299,--(Checklist!$S$10:$S$299&gt;0))+SUMPRODUCT(--(Checklist!$H$10:$H$299=Values!$B$6),Checklist!$S$10:$S$299,--(Checklist!$S$10:$S$299&gt;0))+SUMPRODUCT(--(Checklist!$H$10:$H$299=Values!$B$3),Checklist!$S$10:$S$299,--(Checklist!$S$10:$S$299&gt;0))</f>
        <v>0</v>
      </c>
      <c r="D55" s="33" cm="1">
        <f t="array" ref="D55">SUMPRODUCT(--(Checklist!$H$10:$H$299=Values!$B$4),Checklist!$S$10:$S$299)+SUMPRODUCT(--(Checklist!$H$10:$H$299=Values!$B$3),Checklist!$S$10:$S$299)</f>
        <v>0</v>
      </c>
      <c r="E55" s="14">
        <f t="shared" si="5"/>
        <v>1</v>
      </c>
      <c r="F55" s="14"/>
      <c r="K55" s="43"/>
      <c r="L55" s="43"/>
    </row>
    <row r="56" spans="1:12">
      <c r="K56" s="43"/>
      <c r="L56" s="43"/>
    </row>
    <row r="57" spans="1:12">
      <c r="K57" s="43"/>
    </row>
    <row r="58" spans="1:12">
      <c r="K58" s="43"/>
    </row>
    <row r="59" spans="1:12">
      <c r="K59" s="43"/>
    </row>
    <row r="60" spans="1:12">
      <c r="K60" s="43"/>
    </row>
    <row r="61" spans="1:12">
      <c r="K61" s="43"/>
    </row>
    <row r="62" spans="1:12">
      <c r="K62" s="43"/>
      <c r="L62" s="43"/>
    </row>
    <row r="64" spans="1:12">
      <c r="K64" s="43"/>
      <c r="L64" s="43"/>
    </row>
    <row r="65" spans="11:12">
      <c r="K65" s="43"/>
      <c r="L65" s="43"/>
    </row>
    <row r="66" spans="11:12">
      <c r="K66" s="43"/>
      <c r="L66" s="43"/>
    </row>
    <row r="67" spans="11:12">
      <c r="K67" s="43"/>
      <c r="L67" s="43"/>
    </row>
    <row r="68" spans="11:12">
      <c r="K68" s="43"/>
      <c r="L68" s="43"/>
    </row>
    <row r="69" spans="11:12">
      <c r="K69" s="43"/>
      <c r="L69" s="43"/>
    </row>
    <row r="70" spans="11:12">
      <c r="K70" s="43"/>
    </row>
    <row r="71" spans="11:12">
      <c r="K71" s="43"/>
    </row>
    <row r="72" spans="11:12">
      <c r="K72" s="43"/>
    </row>
    <row r="73" spans="11:12">
      <c r="K73" s="43"/>
    </row>
    <row r="74" spans="11:12">
      <c r="K74" s="43"/>
    </row>
    <row r="75" spans="11:12">
      <c r="K75" s="43"/>
    </row>
    <row r="76" spans="11:12">
      <c r="K76" s="43"/>
    </row>
    <row r="77" spans="11:12">
      <c r="K77" s="43"/>
    </row>
    <row r="78" spans="11:12">
      <c r="K78" s="43"/>
    </row>
    <row r="79" spans="11:12">
      <c r="K79" s="43"/>
    </row>
    <row r="80" spans="11:12">
      <c r="K80" s="43"/>
    </row>
    <row r="81" spans="11:12">
      <c r="K81" s="43"/>
    </row>
    <row r="82" spans="11:12">
      <c r="K82" s="43"/>
    </row>
    <row r="83" spans="11:12">
      <c r="K83" s="43"/>
    </row>
    <row r="84" spans="11:12">
      <c r="K84" s="43"/>
    </row>
    <row r="85" spans="11:12">
      <c r="K85" s="43"/>
    </row>
    <row r="86" spans="11:12">
      <c r="K86" s="43"/>
    </row>
    <row r="87" spans="11:12">
      <c r="K87" s="43"/>
    </row>
    <row r="88" spans="11:12">
      <c r="K88" s="43"/>
    </row>
    <row r="89" spans="11:12">
      <c r="K89" s="43"/>
    </row>
    <row r="90" spans="11:12">
      <c r="K90" s="43"/>
      <c r="L90" s="43"/>
    </row>
    <row r="91" spans="11:12">
      <c r="K91" s="43"/>
      <c r="L91" s="43"/>
    </row>
    <row r="92" spans="11:12">
      <c r="K92" s="43"/>
    </row>
    <row r="93" spans="11:12">
      <c r="K93" s="43"/>
      <c r="L93" s="43"/>
    </row>
    <row r="94" spans="11:12">
      <c r="K94" s="43"/>
      <c r="L94" s="43"/>
    </row>
    <row r="95" spans="11:12">
      <c r="K95" s="43"/>
      <c r="L95" s="43"/>
    </row>
    <row r="96" spans="11:12">
      <c r="K96" s="43"/>
      <c r="L96" s="43"/>
    </row>
    <row r="97" spans="11:12">
      <c r="K97" s="43"/>
      <c r="L97" s="43"/>
    </row>
    <row r="98" spans="11:12">
      <c r="K98" s="43"/>
      <c r="L98" s="43"/>
    </row>
    <row r="99" spans="11:12">
      <c r="K99" s="43"/>
      <c r="L99" s="43"/>
    </row>
    <row r="100" spans="11:12">
      <c r="K100" s="43"/>
      <c r="L100" s="43"/>
    </row>
    <row r="101" spans="11:12">
      <c r="K101" s="43"/>
    </row>
    <row r="102" spans="11:12">
      <c r="K102" s="43"/>
    </row>
    <row r="103" spans="11:12">
      <c r="K103" s="43"/>
    </row>
    <row r="104" spans="11:12">
      <c r="K104" s="43"/>
    </row>
    <row r="105" spans="11:12">
      <c r="K105" s="43"/>
    </row>
    <row r="106" spans="11:12">
      <c r="K106" s="43"/>
    </row>
    <row r="107" spans="11:12">
      <c r="K107" s="43"/>
    </row>
    <row r="108" spans="11:12">
      <c r="K108" s="43"/>
    </row>
    <row r="109" spans="11:12">
      <c r="K109" s="43"/>
    </row>
    <row r="110" spans="11:12">
      <c r="K110" s="43"/>
    </row>
    <row r="111" spans="11:12">
      <c r="K111" s="43"/>
      <c r="L111" s="43"/>
    </row>
    <row r="112" spans="11:12">
      <c r="K112" s="43"/>
      <c r="L112" s="43"/>
    </row>
    <row r="113" spans="11:12">
      <c r="K113" s="43"/>
    </row>
    <row r="114" spans="11:12">
      <c r="K114" s="43"/>
    </row>
    <row r="115" spans="11:12">
      <c r="K115" s="43"/>
    </row>
    <row r="116" spans="11:12">
      <c r="K116" s="43"/>
    </row>
    <row r="117" spans="11:12">
      <c r="K117" s="43"/>
      <c r="L117" s="43"/>
    </row>
    <row r="118" spans="11:12">
      <c r="K118" s="43"/>
      <c r="L118" s="43"/>
    </row>
    <row r="119" spans="11:12">
      <c r="K119" s="43"/>
    </row>
    <row r="120" spans="11:12">
      <c r="K120" s="43"/>
    </row>
    <row r="121" spans="11:12">
      <c r="K121" s="43"/>
    </row>
    <row r="122" spans="11:12">
      <c r="K122" s="43"/>
      <c r="L122" s="43"/>
    </row>
    <row r="123" spans="11:12">
      <c r="K123" s="43"/>
      <c r="L123" s="43"/>
    </row>
    <row r="124" spans="11:12">
      <c r="K124" s="43"/>
      <c r="L124" s="43"/>
    </row>
    <row r="125" spans="11:12">
      <c r="K125" s="43"/>
    </row>
    <row r="126" spans="11:12">
      <c r="K126" s="43"/>
    </row>
    <row r="127" spans="11:12">
      <c r="K127" s="43"/>
      <c r="L127" s="43"/>
    </row>
    <row r="128" spans="11:12">
      <c r="K128" s="43"/>
      <c r="L128" s="43"/>
    </row>
    <row r="129" spans="11:12">
      <c r="K129" s="43"/>
      <c r="L129" s="43"/>
    </row>
    <row r="130" spans="11:12">
      <c r="K130" s="43"/>
      <c r="L130" s="43"/>
    </row>
    <row r="131" spans="11:12">
      <c r="K131" s="43"/>
      <c r="L131" s="43"/>
    </row>
    <row r="132" spans="11:12">
      <c r="K132" s="43"/>
      <c r="L132" s="43"/>
    </row>
    <row r="133" spans="11:12">
      <c r="K133" s="43"/>
      <c r="L133" s="43"/>
    </row>
    <row r="134" spans="11:12">
      <c r="K134" s="43"/>
      <c r="L134" s="43"/>
    </row>
    <row r="135" spans="11:12">
      <c r="K135" s="43"/>
      <c r="L135" s="43"/>
    </row>
    <row r="136" spans="11:12">
      <c r="K136" s="43"/>
    </row>
    <row r="137" spans="11:12">
      <c r="K137" s="43"/>
      <c r="L137" s="43"/>
    </row>
    <row r="138" spans="11:12">
      <c r="K138" s="43"/>
      <c r="L138" s="43"/>
    </row>
    <row r="139" spans="11:12">
      <c r="K139" s="43"/>
      <c r="L139" s="43"/>
    </row>
    <row r="140" spans="11:12">
      <c r="K140" s="43"/>
      <c r="L140" s="43"/>
    </row>
    <row r="141" spans="11:12">
      <c r="K141" s="43"/>
      <c r="L141" s="43"/>
    </row>
    <row r="142" spans="11:12">
      <c r="K142" s="43"/>
      <c r="L142" s="43"/>
    </row>
    <row r="143" spans="11:12">
      <c r="K143" s="43"/>
    </row>
    <row r="144" spans="11:12">
      <c r="K144" s="43"/>
      <c r="L144" s="43"/>
    </row>
    <row r="145" spans="11:12">
      <c r="K145" s="43"/>
    </row>
    <row r="146" spans="11:12">
      <c r="K146" s="43"/>
    </row>
    <row r="147" spans="11:12">
      <c r="K147" s="43"/>
      <c r="L147" s="43"/>
    </row>
    <row r="148" spans="11:12">
      <c r="K148" s="43"/>
      <c r="L148" s="43"/>
    </row>
    <row r="149" spans="11:12">
      <c r="K149" s="43"/>
      <c r="L149" s="43"/>
    </row>
    <row r="150" spans="11:12">
      <c r="K150" s="43"/>
      <c r="L150" s="43"/>
    </row>
    <row r="151" spans="11:12">
      <c r="K151" s="43"/>
      <c r="L151" s="43"/>
    </row>
    <row r="152" spans="11:12">
      <c r="K152" s="43"/>
      <c r="L152" s="43"/>
    </row>
    <row r="153" spans="11:12">
      <c r="K153" s="43"/>
      <c r="L153" s="43"/>
    </row>
    <row r="154" spans="11:12">
      <c r="K154" s="43"/>
    </row>
    <row r="155" spans="11:12">
      <c r="K155" s="43"/>
    </row>
    <row r="156" spans="11:12">
      <c r="K156" s="43"/>
    </row>
    <row r="157" spans="11:12">
      <c r="K157" s="43"/>
    </row>
    <row r="158" spans="11:12">
      <c r="K158" s="43"/>
    </row>
    <row r="159" spans="11:12">
      <c r="K159" s="43"/>
      <c r="L159" s="43"/>
    </row>
    <row r="160" spans="11:12">
      <c r="K160" s="43"/>
      <c r="L160" s="43"/>
    </row>
    <row r="161" spans="11:12">
      <c r="K161" s="43"/>
      <c r="L161" s="43"/>
    </row>
    <row r="162" spans="11:12">
      <c r="K162" s="43"/>
      <c r="L162" s="43"/>
    </row>
    <row r="163" spans="11:12">
      <c r="K163" s="43"/>
      <c r="L163" s="43"/>
    </row>
    <row r="164" spans="11:12">
      <c r="K164" s="43"/>
    </row>
    <row r="165" spans="11:12">
      <c r="K165" s="43"/>
    </row>
    <row r="166" spans="11:12">
      <c r="K166" s="43"/>
    </row>
    <row r="167" spans="11:12">
      <c r="K167" s="43"/>
      <c r="L167" s="43"/>
    </row>
    <row r="168" spans="11:12">
      <c r="K168" s="43"/>
      <c r="L168" s="43"/>
    </row>
    <row r="169" spans="11:12">
      <c r="L169" s="43"/>
    </row>
    <row r="170" spans="11:12">
      <c r="K170" s="43"/>
      <c r="L170" s="43"/>
    </row>
    <row r="171" spans="11:12">
      <c r="K171" s="43"/>
      <c r="L171" s="43"/>
    </row>
    <row r="172" spans="11:12">
      <c r="K172" s="43"/>
      <c r="L172" s="43"/>
    </row>
    <row r="173" spans="11:12">
      <c r="K173" s="43"/>
    </row>
    <row r="174" spans="11:12">
      <c r="K174" s="43"/>
    </row>
    <row r="175" spans="11:12">
      <c r="K175" s="43"/>
      <c r="L175" s="43"/>
    </row>
    <row r="176" spans="11:12">
      <c r="K176" s="43"/>
    </row>
    <row r="177" spans="11:11">
      <c r="K177" s="43"/>
    </row>
    <row r="178" spans="11:11">
      <c r="K178" s="43"/>
    </row>
    <row r="179" spans="11:11">
      <c r="K179" s="43"/>
    </row>
    <row r="180" spans="11:11">
      <c r="K180" s="43"/>
    </row>
    <row r="181" spans="11:11">
      <c r="K181" s="43"/>
    </row>
    <row r="182" spans="11:11">
      <c r="K182" s="43"/>
    </row>
    <row r="183" spans="11:11">
      <c r="K183" s="43"/>
    </row>
    <row r="184" spans="11:11">
      <c r="K184" s="43"/>
    </row>
    <row r="185" spans="11:11">
      <c r="K185" s="43"/>
    </row>
    <row r="186" spans="11:11">
      <c r="K186" s="43"/>
    </row>
    <row r="187" spans="11:11">
      <c r="K187" s="43"/>
    </row>
    <row r="188" spans="11:11">
      <c r="K188" s="43"/>
    </row>
    <row r="189" spans="11:11">
      <c r="K189" s="43"/>
    </row>
    <row r="190" spans="11:11">
      <c r="K190" s="43"/>
    </row>
    <row r="191" spans="11:11">
      <c r="K191" s="43"/>
    </row>
    <row r="192" spans="11:11">
      <c r="K192" s="43"/>
    </row>
    <row r="193" spans="11:12">
      <c r="K193" s="43"/>
    </row>
    <row r="194" spans="11:12">
      <c r="K194" s="43"/>
    </row>
    <row r="195" spans="11:12">
      <c r="K195" s="43"/>
    </row>
    <row r="196" spans="11:12">
      <c r="K196" s="43"/>
    </row>
    <row r="197" spans="11:12">
      <c r="K197" s="43"/>
    </row>
    <row r="198" spans="11:12">
      <c r="K198" s="43"/>
    </row>
    <row r="199" spans="11:12">
      <c r="K199" s="43"/>
    </row>
    <row r="200" spans="11:12">
      <c r="K200" s="43"/>
    </row>
    <row r="201" spans="11:12">
      <c r="K201" s="43"/>
    </row>
    <row r="202" spans="11:12">
      <c r="K202" s="43"/>
    </row>
    <row r="203" spans="11:12">
      <c r="K203" s="43"/>
    </row>
    <row r="204" spans="11:12">
      <c r="K204" s="43"/>
    </row>
    <row r="205" spans="11:12">
      <c r="K205" s="43"/>
    </row>
    <row r="206" spans="11:12">
      <c r="K206" s="43"/>
    </row>
    <row r="207" spans="11:12">
      <c r="K207" s="43"/>
      <c r="L207" s="43"/>
    </row>
    <row r="208" spans="11:12">
      <c r="K208" s="43"/>
      <c r="L208" s="43"/>
    </row>
    <row r="209" spans="11:12">
      <c r="K209" s="43"/>
      <c r="L209" s="43"/>
    </row>
    <row r="210" spans="11:12">
      <c r="K210" s="43"/>
      <c r="L210" s="43"/>
    </row>
    <row r="211" spans="11:12">
      <c r="K211" s="43"/>
      <c r="L211" s="43"/>
    </row>
    <row r="212" spans="11:12">
      <c r="K212" s="43"/>
    </row>
    <row r="213" spans="11:12">
      <c r="K213" s="43"/>
    </row>
    <row r="214" spans="11:12">
      <c r="K214" s="43"/>
    </row>
    <row r="215" spans="11:12">
      <c r="K215" s="43"/>
    </row>
    <row r="216" spans="11:12">
      <c r="K216" s="43"/>
    </row>
    <row r="217" spans="11:12">
      <c r="K217" s="43"/>
      <c r="L217" s="43"/>
    </row>
    <row r="218" spans="11:12">
      <c r="K218" s="43"/>
      <c r="L218" s="43"/>
    </row>
    <row r="219" spans="11:12">
      <c r="K219" s="43"/>
      <c r="L219" s="43"/>
    </row>
    <row r="220" spans="11:12">
      <c r="K220" s="43"/>
      <c r="L220" s="43"/>
    </row>
    <row r="221" spans="11:12">
      <c r="K221" s="43"/>
      <c r="L221" s="43"/>
    </row>
    <row r="222" spans="11:12">
      <c r="K222" s="43"/>
      <c r="L222" s="43"/>
    </row>
    <row r="223" spans="11:12">
      <c r="K223" s="43"/>
    </row>
    <row r="224" spans="11:12">
      <c r="K224" s="43"/>
    </row>
    <row r="225" spans="11:11">
      <c r="K225" s="43"/>
    </row>
    <row r="226" spans="11:11">
      <c r="K226" s="43"/>
    </row>
    <row r="227" spans="11:11">
      <c r="K227" s="43"/>
    </row>
    <row r="228" spans="11:11">
      <c r="K228" s="43"/>
    </row>
    <row r="229" spans="11:11">
      <c r="K229" s="43"/>
    </row>
    <row r="230" spans="11:11">
      <c r="K230" s="43"/>
    </row>
    <row r="231" spans="11:11">
      <c r="K231" s="43"/>
    </row>
    <row r="232" spans="11:11">
      <c r="K232" s="43"/>
    </row>
    <row r="233" spans="11:11">
      <c r="K233" s="43"/>
    </row>
    <row r="234" spans="11:11">
      <c r="K234" s="43"/>
    </row>
    <row r="235" spans="11:11">
      <c r="K235" s="43"/>
    </row>
    <row r="236" spans="11:11">
      <c r="K236" s="43"/>
    </row>
    <row r="237" spans="11:11">
      <c r="K237" s="43"/>
    </row>
    <row r="238" spans="11:11">
      <c r="K238" s="43"/>
    </row>
    <row r="239" spans="11:11">
      <c r="K239" s="43"/>
    </row>
    <row r="240" spans="11:11">
      <c r="K240" s="43"/>
    </row>
    <row r="241" spans="11:11">
      <c r="K241" s="43"/>
    </row>
    <row r="242" spans="11:11">
      <c r="K242" s="43"/>
    </row>
    <row r="243" spans="11:11">
      <c r="K243" s="43"/>
    </row>
    <row r="244" spans="11:11">
      <c r="K244" s="43"/>
    </row>
    <row r="245" spans="11:11">
      <c r="K245" s="43"/>
    </row>
    <row r="246" spans="11:11">
      <c r="K246" s="43"/>
    </row>
  </sheetData>
  <dataConsolidate/>
  <conditionalFormatting sqref="E51:F55">
    <cfRule type="dataBar" priority="1">
      <dataBar>
        <cfvo type="min"/>
        <cfvo type="max"/>
        <color rgb="FF63C384"/>
      </dataBar>
      <extLst>
        <ext xmlns:x14="http://schemas.microsoft.com/office/spreadsheetml/2009/9/main" uri="{B025F937-C7B1-47D3-B67F-A62EFF666E3E}">
          <x14:id>{92446CB2-5B22-473A-BF5C-0250EB2C71A6}</x14:id>
        </ext>
      </extLst>
    </cfRule>
  </conditionalFormatting>
  <pageMargins left="0.7" right="0.7" top="0.75" bottom="0.75" header="0.3" footer="0.3"/>
  <pageSetup orientation="portrait" r:id="rId1"/>
  <drawing r:id="rId2"/>
  <extLst>
    <ext xmlns:x14="http://schemas.microsoft.com/office/spreadsheetml/2009/9/main" uri="{78C0D931-6437-407d-A8EE-F0AAD7539E65}">
      <x14:conditionalFormattings>
        <x14:conditionalFormatting xmlns:xm="http://schemas.microsoft.com/office/excel/2006/main">
          <x14:cfRule type="dataBar" id="{92446CB2-5B22-473A-BF5C-0250EB2C71A6}">
            <x14:dataBar minLength="0" maxLength="100" gradient="0">
              <x14:cfvo type="autoMin"/>
              <x14:cfvo type="autoMax"/>
              <x14:negativeFillColor rgb="FFFF0000"/>
              <x14:axisColor rgb="FF000000"/>
            </x14:dataBar>
          </x14:cfRule>
          <xm:sqref>E51:F55</xm:sqref>
        </x14:conditionalFormatting>
      </x14:conditionalFormatting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A4B7A3-F207-4AF4-8579-95FFC9A7072F}">
  <sheetPr codeName="Sheet1"/>
  <dimension ref="A1:S306"/>
  <sheetViews>
    <sheetView showGridLines="0" tabSelected="1" zoomScale="80" zoomScaleNormal="80" workbookViewId="0">
      <selection activeCell="I2" sqref="I2"/>
    </sheetView>
  </sheetViews>
  <sheetFormatPr defaultColWidth="9" defaultRowHeight="16.5"/>
  <cols>
    <col min="1" max="1" width="10" style="2" customWidth="1"/>
    <col min="2" max="2" width="19" style="1" customWidth="1"/>
    <col min="3" max="3" width="22.28515625" style="1" customWidth="1"/>
    <col min="4" max="4" width="18.28515625" style="1" customWidth="1"/>
    <col min="5" max="5" width="94.5703125" style="2" customWidth="1"/>
    <col min="6" max="6" width="34.140625" style="2" customWidth="1"/>
    <col min="7" max="8" width="18.7109375" style="2" customWidth="1"/>
    <col min="9" max="9" width="76" style="2" customWidth="1"/>
    <col min="10" max="10" width="13.42578125" style="2" customWidth="1"/>
    <col min="11" max="11" width="18.42578125" style="2" customWidth="1"/>
    <col min="12" max="12" width="14.5703125" style="2" customWidth="1"/>
    <col min="13" max="13" width="11.42578125" style="2" customWidth="1"/>
    <col min="14" max="14" width="46.140625" style="2" customWidth="1"/>
    <col min="15" max="15" width="10.85546875" style="2" customWidth="1"/>
    <col min="16" max="16" width="10.28515625" style="2" customWidth="1"/>
    <col min="17" max="17" width="9.85546875" style="2" customWidth="1"/>
    <col min="18" max="19" width="10.28515625" style="2" customWidth="1"/>
    <col min="20" max="16384" width="9" style="2"/>
  </cols>
  <sheetData>
    <row r="1" spans="1:19" ht="17.25" thickBot="1"/>
    <row r="2" spans="1:19" ht="55.5" customHeight="1" thickBot="1">
      <c r="B2" s="45"/>
      <c r="C2" s="45"/>
      <c r="D2" s="23"/>
      <c r="E2" s="44" t="s">
        <v>96</v>
      </c>
      <c r="F2" s="20"/>
      <c r="G2" s="35" t="s">
        <v>95</v>
      </c>
      <c r="H2" s="21" t="s">
        <v>31</v>
      </c>
      <c r="I2" s="26" t="s">
        <v>37</v>
      </c>
      <c r="J2" s="26"/>
    </row>
    <row r="3" spans="1:19" ht="17.25">
      <c r="B3" s="23"/>
      <c r="C3" s="23"/>
      <c r="D3" s="23"/>
      <c r="E3" s="11"/>
      <c r="F3" s="11"/>
      <c r="G3" s="24"/>
      <c r="H3" s="25"/>
      <c r="I3" s="26"/>
      <c r="J3" s="26"/>
      <c r="S3" s="42" t="s">
        <v>99</v>
      </c>
    </row>
    <row r="4" spans="1:19" ht="17.25" customHeight="1">
      <c r="B4" s="23"/>
      <c r="C4" s="23"/>
      <c r="D4" s="23"/>
      <c r="E4" s="11"/>
      <c r="F4" s="11"/>
      <c r="G4" s="2" t="str">
        <f>Values!B2</f>
        <v>Not verified</v>
      </c>
      <c r="H4" s="28" t="str">
        <f>Values!H2</f>
        <v>This check has not been looked at yet</v>
      </c>
      <c r="I4" s="22"/>
      <c r="J4" s="22"/>
      <c r="S4" s="42" t="s">
        <v>101</v>
      </c>
    </row>
    <row r="5" spans="1:19">
      <c r="B5" s="23"/>
      <c r="C5" s="23"/>
      <c r="D5" s="23"/>
      <c r="E5" s="11"/>
      <c r="F5" s="11"/>
      <c r="G5" s="2" t="str">
        <f>Values!B3</f>
        <v>Open</v>
      </c>
      <c r="H5" s="28" t="str">
        <f>Values!H3</f>
        <v>There is an action item associated to this check</v>
      </c>
      <c r="I5" s="22"/>
      <c r="J5" s="22"/>
    </row>
    <row r="6" spans="1:19" s="5" customFormat="1" ht="17.25" customHeight="1">
      <c r="B6" s="16" t="s">
        <v>117</v>
      </c>
      <c r="C6" s="4"/>
      <c r="D6" s="4"/>
      <c r="E6" s="4"/>
      <c r="F6" s="4"/>
      <c r="G6" s="2" t="str">
        <f>Values!B4</f>
        <v>Fulfilled</v>
      </c>
      <c r="H6" s="28" t="str">
        <f>Values!H4</f>
        <v>This check has been verified, and there are no further action items associated to it</v>
      </c>
      <c r="I6" s="4"/>
      <c r="J6" s="4"/>
      <c r="K6" s="4"/>
    </row>
    <row r="7" spans="1:19" ht="17.25">
      <c r="B7" s="36" t="s">
        <v>118</v>
      </c>
      <c r="C7" s="38"/>
      <c r="D7" s="37"/>
      <c r="E7" s="6"/>
      <c r="F7" s="6"/>
      <c r="G7" s="2" t="str">
        <f>Values!B5</f>
        <v>Not required</v>
      </c>
      <c r="H7" s="28" t="str">
        <f>Values!H5</f>
        <v>Recommendation understood, but not needed by current requirements</v>
      </c>
      <c r="I7" s="3"/>
      <c r="J7" s="3"/>
      <c r="K7" s="3"/>
    </row>
    <row r="8" spans="1:19">
      <c r="B8" s="37" t="s">
        <v>87</v>
      </c>
      <c r="C8" s="38">
        <v>45236</v>
      </c>
      <c r="D8" s="37"/>
      <c r="E8" s="6"/>
      <c r="F8" s="6"/>
      <c r="G8" s="2" t="str">
        <f>Values!B6</f>
        <v>N/A</v>
      </c>
      <c r="H8" s="28" t="str">
        <f>Values!H6</f>
        <v>Not applicable for current design</v>
      </c>
      <c r="I8" s="3"/>
      <c r="J8" s="3"/>
      <c r="K8" s="3"/>
      <c r="O8" s="34">
        <f>Dashboard!$E$51</f>
        <v>1</v>
      </c>
      <c r="P8" s="34">
        <f>Dashboard!$E$52</f>
        <v>1</v>
      </c>
      <c r="Q8" s="34">
        <f>Dashboard!$E$53</f>
        <v>1</v>
      </c>
      <c r="R8" s="34">
        <f>Dashboard!$E$54</f>
        <v>1</v>
      </c>
      <c r="S8" s="34">
        <f>Dashboard!$E$55</f>
        <v>1</v>
      </c>
    </row>
    <row r="9" spans="1:19" s="27" customFormat="1" ht="21.75" customHeight="1">
      <c r="A9" s="39" t="s">
        <v>100</v>
      </c>
      <c r="B9" s="39" t="s">
        <v>98</v>
      </c>
      <c r="C9" s="39" t="s">
        <v>0</v>
      </c>
      <c r="D9" s="39" t="s">
        <v>88</v>
      </c>
      <c r="E9" s="39" t="s">
        <v>24</v>
      </c>
      <c r="F9" s="39" t="s">
        <v>25</v>
      </c>
      <c r="G9" s="39" t="s">
        <v>1</v>
      </c>
      <c r="H9" s="39" t="s">
        <v>2</v>
      </c>
      <c r="I9" s="39" t="s">
        <v>3</v>
      </c>
      <c r="J9" s="39" t="s">
        <v>102</v>
      </c>
      <c r="K9" s="39" t="s">
        <v>11</v>
      </c>
      <c r="L9" s="39" t="s">
        <v>17</v>
      </c>
      <c r="M9" s="40" t="s">
        <v>69</v>
      </c>
      <c r="N9" s="40" t="s">
        <v>19</v>
      </c>
      <c r="O9" s="41" t="s">
        <v>58</v>
      </c>
      <c r="P9" s="41" t="s">
        <v>56</v>
      </c>
      <c r="Q9" s="41" t="s">
        <v>57</v>
      </c>
      <c r="R9" s="41" t="s">
        <v>59</v>
      </c>
      <c r="S9" s="41" t="s">
        <v>60</v>
      </c>
    </row>
    <row r="10" spans="1:19" ht="16.5" customHeight="1">
      <c r="A10" s="29" t="s">
        <v>119</v>
      </c>
      <c r="B10" s="29" t="s">
        <v>120</v>
      </c>
      <c r="C10" s="29" t="s">
        <v>121</v>
      </c>
      <c r="D10" s="29" t="s">
        <v>89</v>
      </c>
      <c r="E10" s="29" t="s">
        <v>122</v>
      </c>
      <c r="F10" s="29"/>
      <c r="G10" s="29" t="s">
        <v>7</v>
      </c>
      <c r="H10" s="2" t="s">
        <v>5</v>
      </c>
      <c r="I10" s="29"/>
      <c r="J10" s="29"/>
      <c r="K10" s="19" t="s">
        <v>11</v>
      </c>
      <c r="L10" s="19"/>
      <c r="M10" s="30"/>
      <c r="N10" s="30" t="s">
        <v>123</v>
      </c>
      <c r="O10" s="32"/>
      <c r="P10" s="32"/>
      <c r="Q10" s="32"/>
      <c r="R10" s="32"/>
      <c r="S10" s="32"/>
    </row>
    <row r="11" spans="1:19" ht="16.5" customHeight="1">
      <c r="A11" s="29" t="s">
        <v>124</v>
      </c>
      <c r="B11" s="29" t="s">
        <v>120</v>
      </c>
      <c r="C11" s="29" t="s">
        <v>121</v>
      </c>
      <c r="D11" s="29" t="s">
        <v>89</v>
      </c>
      <c r="E11" s="29" t="s">
        <v>125</v>
      </c>
      <c r="F11" s="29"/>
      <c r="G11" s="29" t="s">
        <v>6</v>
      </c>
      <c r="H11" s="2" t="s">
        <v>5</v>
      </c>
      <c r="I11" s="29"/>
      <c r="J11" s="29"/>
      <c r="K11" s="19" t="s">
        <v>11</v>
      </c>
      <c r="L11" s="19"/>
      <c r="M11" s="30"/>
      <c r="N11" s="30" t="s">
        <v>126</v>
      </c>
      <c r="O11" s="32"/>
      <c r="P11" s="32"/>
      <c r="Q11" s="32"/>
      <c r="R11" s="32"/>
      <c r="S11" s="32"/>
    </row>
    <row r="12" spans="1:19" ht="16.5" customHeight="1">
      <c r="A12" s="29" t="s">
        <v>127</v>
      </c>
      <c r="B12" s="29" t="s">
        <v>120</v>
      </c>
      <c r="C12" s="29" t="s">
        <v>121</v>
      </c>
      <c r="D12" s="29" t="s">
        <v>89</v>
      </c>
      <c r="E12" s="29" t="s">
        <v>128</v>
      </c>
      <c r="F12" s="29"/>
      <c r="G12" s="29" t="s">
        <v>6</v>
      </c>
      <c r="H12" s="2" t="s">
        <v>5</v>
      </c>
      <c r="I12" s="29"/>
      <c r="J12" s="29"/>
      <c r="K12" s="19" t="s">
        <v>11</v>
      </c>
      <c r="L12" s="19"/>
      <c r="M12" s="30"/>
      <c r="N12" s="31" t="s">
        <v>129</v>
      </c>
      <c r="O12" s="32"/>
      <c r="P12" s="32"/>
      <c r="Q12" s="32"/>
      <c r="R12" s="32"/>
      <c r="S12" s="32"/>
    </row>
    <row r="13" spans="1:19" ht="16.5" customHeight="1">
      <c r="A13" s="29" t="s">
        <v>130</v>
      </c>
      <c r="B13" s="29" t="s">
        <v>120</v>
      </c>
      <c r="C13" s="29" t="s">
        <v>131</v>
      </c>
      <c r="D13" s="29" t="s">
        <v>56</v>
      </c>
      <c r="E13" s="29" t="s">
        <v>132</v>
      </c>
      <c r="F13" s="29"/>
      <c r="G13" s="29" t="s">
        <v>7</v>
      </c>
      <c r="H13" s="2" t="s">
        <v>5</v>
      </c>
      <c r="I13" s="29"/>
      <c r="J13" s="29"/>
      <c r="K13" s="19" t="s">
        <v>11</v>
      </c>
      <c r="L13" s="19"/>
      <c r="M13" s="30"/>
      <c r="N13" s="30" t="s">
        <v>133</v>
      </c>
      <c r="O13" s="32"/>
      <c r="P13" s="32"/>
      <c r="Q13" s="32"/>
      <c r="R13" s="32"/>
      <c r="S13" s="32"/>
    </row>
    <row r="14" spans="1:19" ht="16.5" customHeight="1">
      <c r="A14" s="29" t="s">
        <v>134</v>
      </c>
      <c r="B14" s="29" t="s">
        <v>120</v>
      </c>
      <c r="C14" s="29" t="s">
        <v>131</v>
      </c>
      <c r="D14" s="29" t="s">
        <v>56</v>
      </c>
      <c r="E14" s="29" t="s">
        <v>135</v>
      </c>
      <c r="F14" s="29"/>
      <c r="G14" s="29" t="s">
        <v>6</v>
      </c>
      <c r="H14" s="2" t="s">
        <v>5</v>
      </c>
      <c r="I14" s="29"/>
      <c r="J14" s="29"/>
      <c r="K14" s="19" t="s">
        <v>11</v>
      </c>
      <c r="L14" s="19"/>
      <c r="M14" s="30"/>
      <c r="N14" s="31" t="s">
        <v>136</v>
      </c>
      <c r="O14" s="32"/>
      <c r="P14" s="32"/>
      <c r="Q14" s="32"/>
      <c r="R14" s="32"/>
      <c r="S14" s="32"/>
    </row>
    <row r="15" spans="1:19" ht="16.5" customHeight="1">
      <c r="A15" s="29" t="s">
        <v>137</v>
      </c>
      <c r="B15" s="29" t="s">
        <v>120</v>
      </c>
      <c r="C15" s="29" t="s">
        <v>131</v>
      </c>
      <c r="D15" s="29" t="s">
        <v>56</v>
      </c>
      <c r="E15" s="29" t="s">
        <v>138</v>
      </c>
      <c r="F15" s="29"/>
      <c r="G15" s="29" t="s">
        <v>7</v>
      </c>
      <c r="H15" s="2" t="s">
        <v>5</v>
      </c>
      <c r="I15" s="29"/>
      <c r="J15" s="29"/>
      <c r="K15" s="19" t="s">
        <v>11</v>
      </c>
      <c r="L15" s="19"/>
      <c r="M15" s="30"/>
      <c r="N15" s="30" t="s">
        <v>139</v>
      </c>
      <c r="O15" s="32"/>
      <c r="P15" s="32"/>
      <c r="Q15" s="32"/>
      <c r="R15" s="32"/>
      <c r="S15" s="32"/>
    </row>
    <row r="16" spans="1:19" ht="16.5" customHeight="1">
      <c r="A16" s="29" t="s">
        <v>140</v>
      </c>
      <c r="B16" s="29" t="s">
        <v>120</v>
      </c>
      <c r="C16" s="29" t="s">
        <v>141</v>
      </c>
      <c r="D16" s="29" t="s">
        <v>56</v>
      </c>
      <c r="E16" s="29" t="s">
        <v>142</v>
      </c>
      <c r="F16" s="29"/>
      <c r="G16" s="29" t="s">
        <v>7</v>
      </c>
      <c r="H16" s="2" t="s">
        <v>5</v>
      </c>
      <c r="I16" s="29"/>
      <c r="J16" s="29"/>
      <c r="K16" s="19" t="s">
        <v>11</v>
      </c>
      <c r="L16" s="19"/>
      <c r="M16" s="30"/>
      <c r="N16" s="30" t="s">
        <v>143</v>
      </c>
      <c r="O16" s="32"/>
      <c r="P16" s="32"/>
      <c r="Q16" s="32"/>
      <c r="R16" s="32"/>
      <c r="S16" s="32"/>
    </row>
    <row r="17" spans="1:19" ht="16.5" customHeight="1">
      <c r="A17" s="29" t="s">
        <v>144</v>
      </c>
      <c r="B17" s="29" t="s">
        <v>120</v>
      </c>
      <c r="C17" s="29" t="s">
        <v>141</v>
      </c>
      <c r="D17" s="29" t="s">
        <v>56</v>
      </c>
      <c r="E17" s="29" t="s">
        <v>145</v>
      </c>
      <c r="F17" s="29"/>
      <c r="G17" s="29" t="s">
        <v>6</v>
      </c>
      <c r="H17" s="2" t="s">
        <v>5</v>
      </c>
      <c r="I17" s="29"/>
      <c r="J17" s="29"/>
      <c r="K17" s="19" t="s">
        <v>11</v>
      </c>
      <c r="L17" s="19"/>
      <c r="M17" s="30"/>
      <c r="N17" s="30" t="s">
        <v>146</v>
      </c>
      <c r="O17" s="32"/>
      <c r="P17" s="32"/>
      <c r="Q17" s="32"/>
      <c r="R17" s="32"/>
      <c r="S17" s="32"/>
    </row>
    <row r="18" spans="1:19" ht="16.5" customHeight="1">
      <c r="A18" s="29" t="s">
        <v>147</v>
      </c>
      <c r="B18" s="29" t="s">
        <v>120</v>
      </c>
      <c r="C18" s="29" t="s">
        <v>141</v>
      </c>
      <c r="D18" s="29" t="s">
        <v>30</v>
      </c>
      <c r="E18" s="29" t="s">
        <v>148</v>
      </c>
      <c r="F18" s="29"/>
      <c r="G18" s="29" t="s">
        <v>4</v>
      </c>
      <c r="H18" s="2" t="s">
        <v>5</v>
      </c>
      <c r="I18" s="29"/>
      <c r="J18" s="29" t="s">
        <v>104</v>
      </c>
      <c r="K18" s="19" t="s">
        <v>11</v>
      </c>
      <c r="L18" s="19"/>
      <c r="M18" s="30"/>
      <c r="N18" s="30" t="s">
        <v>149</v>
      </c>
      <c r="O18" s="32"/>
      <c r="P18" s="32"/>
      <c r="Q18" s="32"/>
      <c r="R18" s="32"/>
      <c r="S18" s="32"/>
    </row>
    <row r="19" spans="1:19" ht="16.5" customHeight="1">
      <c r="A19" s="29" t="s">
        <v>150</v>
      </c>
      <c r="B19" s="29" t="s">
        <v>120</v>
      </c>
      <c r="C19" s="29" t="s">
        <v>141</v>
      </c>
      <c r="D19" s="29" t="s">
        <v>30</v>
      </c>
      <c r="E19" s="29" t="s">
        <v>151</v>
      </c>
      <c r="F19" s="29"/>
      <c r="G19" s="29" t="s">
        <v>7</v>
      </c>
      <c r="H19" s="2" t="s">
        <v>5</v>
      </c>
      <c r="I19" s="29"/>
      <c r="J19" s="29"/>
      <c r="K19" s="19" t="s">
        <v>11</v>
      </c>
      <c r="L19" s="19"/>
      <c r="M19" s="30"/>
      <c r="N19" s="30" t="s">
        <v>152</v>
      </c>
      <c r="O19" s="32"/>
      <c r="P19" s="32"/>
      <c r="Q19" s="32"/>
      <c r="R19" s="32"/>
      <c r="S19" s="32"/>
    </row>
    <row r="20" spans="1:19" ht="16.5" customHeight="1">
      <c r="A20" s="29" t="s">
        <v>153</v>
      </c>
      <c r="B20" s="29" t="s">
        <v>120</v>
      </c>
      <c r="C20" s="29" t="s">
        <v>141</v>
      </c>
      <c r="D20" s="29" t="s">
        <v>56</v>
      </c>
      <c r="E20" s="29" t="s">
        <v>154</v>
      </c>
      <c r="F20" s="29"/>
      <c r="G20" s="29" t="s">
        <v>6</v>
      </c>
      <c r="H20" s="2" t="s">
        <v>5</v>
      </c>
      <c r="I20" s="29"/>
      <c r="J20" s="29"/>
      <c r="K20" s="19" t="s">
        <v>11</v>
      </c>
      <c r="L20" s="19"/>
      <c r="M20" s="30"/>
      <c r="N20" s="30" t="s">
        <v>155</v>
      </c>
      <c r="O20" s="32"/>
      <c r="P20" s="32"/>
      <c r="Q20" s="32"/>
      <c r="R20" s="32"/>
      <c r="S20" s="32"/>
    </row>
    <row r="21" spans="1:19" ht="16.5" customHeight="1">
      <c r="A21" s="29" t="s">
        <v>156</v>
      </c>
      <c r="B21" s="29" t="s">
        <v>120</v>
      </c>
      <c r="C21" s="29" t="s">
        <v>141</v>
      </c>
      <c r="D21" s="29" t="s">
        <v>56</v>
      </c>
      <c r="E21" s="29" t="s">
        <v>157</v>
      </c>
      <c r="F21" s="29"/>
      <c r="G21" s="29" t="s">
        <v>7</v>
      </c>
      <c r="H21" s="2" t="s">
        <v>5</v>
      </c>
      <c r="I21" s="29"/>
      <c r="J21" s="29"/>
      <c r="K21" s="19" t="s">
        <v>11</v>
      </c>
      <c r="L21" s="19"/>
      <c r="M21" s="30"/>
      <c r="N21" s="30" t="s">
        <v>158</v>
      </c>
      <c r="O21" s="32"/>
      <c r="P21" s="32"/>
      <c r="Q21" s="32"/>
      <c r="R21" s="32"/>
      <c r="S21" s="32"/>
    </row>
    <row r="22" spans="1:19" ht="16.5" customHeight="1">
      <c r="A22" s="29" t="s">
        <v>159</v>
      </c>
      <c r="B22" s="29" t="s">
        <v>120</v>
      </c>
      <c r="C22" s="29" t="s">
        <v>160</v>
      </c>
      <c r="D22" s="29" t="s">
        <v>56</v>
      </c>
      <c r="E22" s="29" t="s">
        <v>161</v>
      </c>
      <c r="F22" s="29"/>
      <c r="G22" s="29" t="s">
        <v>6</v>
      </c>
      <c r="H22" s="2" t="s">
        <v>5</v>
      </c>
      <c r="I22" s="29"/>
      <c r="J22" s="29"/>
      <c r="K22" s="19" t="s">
        <v>11</v>
      </c>
      <c r="L22" s="19"/>
      <c r="M22" s="30"/>
      <c r="N22" s="30" t="s">
        <v>162</v>
      </c>
      <c r="O22" s="32"/>
      <c r="P22" s="32"/>
      <c r="Q22" s="32"/>
      <c r="R22" s="32"/>
      <c r="S22" s="32"/>
    </row>
    <row r="23" spans="1:19" ht="16.5" customHeight="1">
      <c r="A23" s="29" t="s">
        <v>163</v>
      </c>
      <c r="B23" s="29" t="s">
        <v>120</v>
      </c>
      <c r="C23" s="29" t="s">
        <v>160</v>
      </c>
      <c r="D23" s="29" t="s">
        <v>56</v>
      </c>
      <c r="E23" s="29" t="s">
        <v>164</v>
      </c>
      <c r="F23" s="29"/>
      <c r="G23" s="29" t="s">
        <v>6</v>
      </c>
      <c r="H23" s="2" t="s">
        <v>5</v>
      </c>
      <c r="I23" s="29"/>
      <c r="J23" s="29"/>
      <c r="K23" s="19" t="s">
        <v>11</v>
      </c>
      <c r="L23" s="19"/>
      <c r="M23" s="30"/>
      <c r="N23" s="31" t="s">
        <v>165</v>
      </c>
      <c r="O23" s="32"/>
      <c r="P23" s="32"/>
      <c r="Q23" s="32"/>
      <c r="R23" s="32"/>
      <c r="S23" s="32"/>
    </row>
    <row r="24" spans="1:19" ht="16.5" customHeight="1">
      <c r="A24" s="29" t="s">
        <v>166</v>
      </c>
      <c r="B24" s="29" t="s">
        <v>120</v>
      </c>
      <c r="C24" s="29" t="s">
        <v>160</v>
      </c>
      <c r="D24" s="29" t="s">
        <v>56</v>
      </c>
      <c r="E24" s="29" t="s">
        <v>167</v>
      </c>
      <c r="F24" s="29"/>
      <c r="G24" s="29" t="s">
        <v>6</v>
      </c>
      <c r="H24" s="2" t="s">
        <v>5</v>
      </c>
      <c r="I24" s="29"/>
      <c r="J24" s="29"/>
      <c r="K24" s="19" t="s">
        <v>11</v>
      </c>
      <c r="L24" s="19"/>
      <c r="M24" s="30"/>
      <c r="N24" s="30" t="s">
        <v>168</v>
      </c>
      <c r="O24" s="32"/>
      <c r="P24" s="32"/>
      <c r="Q24" s="32"/>
      <c r="R24" s="32"/>
      <c r="S24" s="32"/>
    </row>
    <row r="25" spans="1:19" ht="16.5" customHeight="1">
      <c r="A25" s="29" t="s">
        <v>169</v>
      </c>
      <c r="B25" s="29" t="s">
        <v>120</v>
      </c>
      <c r="C25" s="29" t="s">
        <v>160</v>
      </c>
      <c r="D25" s="29" t="s">
        <v>56</v>
      </c>
      <c r="E25" s="29" t="s">
        <v>170</v>
      </c>
      <c r="F25" s="29"/>
      <c r="G25" s="29" t="s">
        <v>7</v>
      </c>
      <c r="H25" s="2" t="s">
        <v>5</v>
      </c>
      <c r="I25" s="29"/>
      <c r="J25" s="29"/>
      <c r="K25" s="19" t="s">
        <v>11</v>
      </c>
      <c r="L25" s="19"/>
      <c r="M25" s="30"/>
      <c r="N25" s="31" t="s">
        <v>171</v>
      </c>
      <c r="O25" s="32"/>
      <c r="P25" s="32"/>
      <c r="Q25" s="32"/>
      <c r="R25" s="32"/>
      <c r="S25" s="32"/>
    </row>
    <row r="26" spans="1:19" ht="16.5" customHeight="1">
      <c r="A26" s="29" t="s">
        <v>172</v>
      </c>
      <c r="B26" s="29" t="s">
        <v>173</v>
      </c>
      <c r="C26" s="29" t="s">
        <v>174</v>
      </c>
      <c r="D26" s="29" t="s">
        <v>30</v>
      </c>
      <c r="E26" s="29" t="s">
        <v>175</v>
      </c>
      <c r="F26" s="29"/>
      <c r="G26" s="29" t="s">
        <v>4</v>
      </c>
      <c r="H26" s="2" t="s">
        <v>5</v>
      </c>
      <c r="I26" s="29"/>
      <c r="J26" s="29" t="s">
        <v>104</v>
      </c>
      <c r="K26" s="19" t="s">
        <v>11</v>
      </c>
      <c r="L26" s="19" t="s">
        <v>17</v>
      </c>
      <c r="M26" s="30"/>
      <c r="N26" s="30" t="s">
        <v>176</v>
      </c>
      <c r="O26" s="32"/>
      <c r="P26" s="32"/>
      <c r="Q26" s="32"/>
      <c r="R26" s="32"/>
      <c r="S26" s="32"/>
    </row>
    <row r="27" spans="1:19" ht="16.5" customHeight="1">
      <c r="A27" s="29" t="s">
        <v>177</v>
      </c>
      <c r="B27" s="29" t="s">
        <v>173</v>
      </c>
      <c r="C27" s="29" t="s">
        <v>178</v>
      </c>
      <c r="D27" s="29" t="s">
        <v>91</v>
      </c>
      <c r="E27" s="29" t="s">
        <v>179</v>
      </c>
      <c r="F27" s="29"/>
      <c r="G27" s="29" t="s">
        <v>7</v>
      </c>
      <c r="H27" s="2" t="s">
        <v>5</v>
      </c>
      <c r="I27" s="29"/>
      <c r="J27" s="29"/>
      <c r="K27" s="19" t="s">
        <v>11</v>
      </c>
      <c r="L27" s="19"/>
      <c r="M27" s="30"/>
      <c r="N27" s="31" t="s">
        <v>180</v>
      </c>
      <c r="O27" s="32"/>
      <c r="P27" s="32"/>
      <c r="Q27" s="32"/>
      <c r="R27" s="32"/>
      <c r="S27" s="32"/>
    </row>
    <row r="28" spans="1:19" ht="16.5" customHeight="1">
      <c r="A28" s="29" t="s">
        <v>181</v>
      </c>
      <c r="B28" s="29" t="s">
        <v>173</v>
      </c>
      <c r="C28" s="29" t="s">
        <v>182</v>
      </c>
      <c r="D28" s="29" t="s">
        <v>30</v>
      </c>
      <c r="E28" s="29" t="s">
        <v>183</v>
      </c>
      <c r="F28" s="29"/>
      <c r="G28" s="29" t="s">
        <v>4</v>
      </c>
      <c r="H28" s="2" t="s">
        <v>5</v>
      </c>
      <c r="I28" s="29"/>
      <c r="J28" s="29" t="s">
        <v>104</v>
      </c>
      <c r="K28" s="19" t="s">
        <v>11</v>
      </c>
      <c r="L28" s="19" t="s">
        <v>17</v>
      </c>
      <c r="M28" s="30"/>
      <c r="N28" s="30" t="s">
        <v>184</v>
      </c>
      <c r="O28" s="32"/>
      <c r="P28" s="32"/>
      <c r="Q28" s="32"/>
      <c r="R28" s="32"/>
      <c r="S28" s="32"/>
    </row>
    <row r="29" spans="1:19" ht="16.5" customHeight="1">
      <c r="A29" s="29" t="s">
        <v>185</v>
      </c>
      <c r="B29" s="29" t="s">
        <v>173</v>
      </c>
      <c r="C29" s="29" t="s">
        <v>182</v>
      </c>
      <c r="D29" s="29" t="s">
        <v>30</v>
      </c>
      <c r="E29" s="29" t="s">
        <v>186</v>
      </c>
      <c r="F29" s="29"/>
      <c r="G29" s="29" t="s">
        <v>7</v>
      </c>
      <c r="H29" s="2" t="s">
        <v>5</v>
      </c>
      <c r="I29" s="29"/>
      <c r="J29" s="29"/>
      <c r="K29" s="19" t="s">
        <v>11</v>
      </c>
      <c r="L29" s="19"/>
      <c r="M29" s="30"/>
      <c r="N29" s="30" t="s">
        <v>187</v>
      </c>
      <c r="O29" s="32"/>
      <c r="P29" s="32"/>
      <c r="Q29" s="32"/>
      <c r="R29" s="32"/>
      <c r="S29" s="32"/>
    </row>
    <row r="30" spans="1:19" ht="16.5" customHeight="1">
      <c r="A30" s="29" t="s">
        <v>188</v>
      </c>
      <c r="B30" s="29" t="s">
        <v>173</v>
      </c>
      <c r="C30" s="29" t="s">
        <v>182</v>
      </c>
      <c r="D30" s="29" t="s">
        <v>30</v>
      </c>
      <c r="E30" s="29" t="s">
        <v>189</v>
      </c>
      <c r="F30" s="29"/>
      <c r="G30" s="29" t="s">
        <v>4</v>
      </c>
      <c r="H30" s="2" t="s">
        <v>5</v>
      </c>
      <c r="I30" s="29"/>
      <c r="J30" s="29" t="s">
        <v>104</v>
      </c>
      <c r="K30" s="19" t="s">
        <v>11</v>
      </c>
      <c r="L30" s="19" t="s">
        <v>17</v>
      </c>
      <c r="M30" s="30"/>
      <c r="N30" s="30" t="s">
        <v>190</v>
      </c>
      <c r="O30" s="32"/>
      <c r="P30" s="32"/>
      <c r="Q30" s="32"/>
      <c r="R30" s="32"/>
      <c r="S30" s="32"/>
    </row>
    <row r="31" spans="1:19" ht="16.5" customHeight="1">
      <c r="A31" s="29" t="s">
        <v>191</v>
      </c>
      <c r="B31" s="29" t="s">
        <v>173</v>
      </c>
      <c r="C31" s="29" t="s">
        <v>182</v>
      </c>
      <c r="D31" s="29" t="s">
        <v>30</v>
      </c>
      <c r="E31" s="29" t="s">
        <v>192</v>
      </c>
      <c r="F31" s="29"/>
      <c r="G31" s="29" t="s">
        <v>6</v>
      </c>
      <c r="H31" s="2" t="s">
        <v>5</v>
      </c>
      <c r="I31" s="29"/>
      <c r="J31" s="29"/>
      <c r="K31" s="19" t="s">
        <v>11</v>
      </c>
      <c r="L31" s="19" t="s">
        <v>17</v>
      </c>
      <c r="M31" s="30"/>
      <c r="N31" s="31" t="s">
        <v>193</v>
      </c>
      <c r="O31" s="32"/>
      <c r="P31" s="32"/>
      <c r="Q31" s="32"/>
      <c r="R31" s="32"/>
      <c r="S31" s="32"/>
    </row>
    <row r="32" spans="1:19" ht="16.5" customHeight="1">
      <c r="A32" s="29" t="s">
        <v>194</v>
      </c>
      <c r="B32" s="29" t="s">
        <v>173</v>
      </c>
      <c r="C32" s="29" t="s">
        <v>182</v>
      </c>
      <c r="D32" s="29" t="s">
        <v>30</v>
      </c>
      <c r="E32" s="29" t="s">
        <v>195</v>
      </c>
      <c r="F32" s="29"/>
      <c r="G32" s="29" t="s">
        <v>4</v>
      </c>
      <c r="H32" s="2" t="s">
        <v>5</v>
      </c>
      <c r="I32" s="29"/>
      <c r="J32" s="29" t="s">
        <v>104</v>
      </c>
      <c r="K32" s="19" t="s">
        <v>11</v>
      </c>
      <c r="L32" s="19" t="s">
        <v>17</v>
      </c>
      <c r="M32" s="30"/>
      <c r="N32" s="30" t="s">
        <v>196</v>
      </c>
      <c r="O32" s="32"/>
      <c r="P32" s="32"/>
      <c r="Q32" s="32"/>
      <c r="R32" s="32"/>
      <c r="S32" s="32"/>
    </row>
    <row r="33" spans="1:19" ht="16.5" customHeight="1">
      <c r="A33" s="29" t="s">
        <v>197</v>
      </c>
      <c r="B33" s="29" t="s">
        <v>173</v>
      </c>
      <c r="C33" s="29" t="s">
        <v>182</v>
      </c>
      <c r="D33" s="29" t="s">
        <v>30</v>
      </c>
      <c r="E33" s="29" t="s">
        <v>198</v>
      </c>
      <c r="F33" s="29"/>
      <c r="G33" s="29" t="s">
        <v>7</v>
      </c>
      <c r="H33" s="2" t="s">
        <v>5</v>
      </c>
      <c r="I33" s="29"/>
      <c r="J33" s="29"/>
      <c r="K33" s="19" t="s">
        <v>11</v>
      </c>
      <c r="L33" s="19" t="s">
        <v>17</v>
      </c>
      <c r="M33" s="30"/>
      <c r="N33" s="30" t="s">
        <v>199</v>
      </c>
      <c r="O33" s="32"/>
      <c r="P33" s="32"/>
      <c r="Q33" s="32"/>
      <c r="R33" s="32"/>
      <c r="S33" s="32"/>
    </row>
    <row r="34" spans="1:19" ht="16.5" customHeight="1">
      <c r="A34" s="29" t="s">
        <v>200</v>
      </c>
      <c r="B34" s="29" t="s">
        <v>173</v>
      </c>
      <c r="C34" s="29" t="s">
        <v>182</v>
      </c>
      <c r="D34" s="29" t="s">
        <v>30</v>
      </c>
      <c r="E34" s="29" t="s">
        <v>201</v>
      </c>
      <c r="F34" s="29"/>
      <c r="G34" s="29" t="s">
        <v>7</v>
      </c>
      <c r="H34" s="2" t="s">
        <v>5</v>
      </c>
      <c r="I34" s="29"/>
      <c r="J34" s="29"/>
      <c r="K34" s="19" t="s">
        <v>11</v>
      </c>
      <c r="L34" s="19" t="s">
        <v>17</v>
      </c>
      <c r="M34" s="30"/>
      <c r="N34" s="30" t="s">
        <v>202</v>
      </c>
      <c r="O34" s="32"/>
      <c r="P34" s="32"/>
      <c r="Q34" s="32"/>
      <c r="R34" s="32"/>
      <c r="S34" s="32"/>
    </row>
    <row r="35" spans="1:19" ht="16.5" customHeight="1">
      <c r="A35" s="29" t="s">
        <v>203</v>
      </c>
      <c r="B35" s="29" t="s">
        <v>173</v>
      </c>
      <c r="C35" s="29" t="s">
        <v>182</v>
      </c>
      <c r="D35" s="29" t="s">
        <v>30</v>
      </c>
      <c r="E35" s="29" t="s">
        <v>204</v>
      </c>
      <c r="F35" s="29"/>
      <c r="G35" s="29" t="s">
        <v>4</v>
      </c>
      <c r="H35" s="2" t="s">
        <v>5</v>
      </c>
      <c r="I35" s="29"/>
      <c r="J35" s="29" t="s">
        <v>104</v>
      </c>
      <c r="K35" s="19" t="s">
        <v>11</v>
      </c>
      <c r="L35" s="19" t="s">
        <v>17</v>
      </c>
      <c r="M35" s="30"/>
      <c r="N35" s="31" t="s">
        <v>205</v>
      </c>
      <c r="O35" s="32"/>
      <c r="P35" s="32"/>
      <c r="Q35" s="32"/>
      <c r="R35" s="32"/>
      <c r="S35" s="32"/>
    </row>
    <row r="36" spans="1:19" ht="16.5" customHeight="1">
      <c r="A36" s="29" t="s">
        <v>206</v>
      </c>
      <c r="B36" s="29" t="s">
        <v>173</v>
      </c>
      <c r="C36" s="29" t="s">
        <v>182</v>
      </c>
      <c r="D36" s="29" t="s">
        <v>30</v>
      </c>
      <c r="E36" s="29" t="s">
        <v>207</v>
      </c>
      <c r="F36" s="29"/>
      <c r="G36" s="29" t="s">
        <v>7</v>
      </c>
      <c r="H36" s="2" t="s">
        <v>5</v>
      </c>
      <c r="I36" s="29"/>
      <c r="J36" s="29"/>
      <c r="K36" s="19" t="s">
        <v>11</v>
      </c>
      <c r="L36" s="19" t="s">
        <v>17</v>
      </c>
      <c r="M36" s="30"/>
      <c r="N36" s="30" t="s">
        <v>208</v>
      </c>
      <c r="O36" s="32"/>
      <c r="P36" s="32"/>
      <c r="Q36" s="32"/>
      <c r="R36" s="32"/>
      <c r="S36" s="32"/>
    </row>
    <row r="37" spans="1:19" ht="16.5" customHeight="1">
      <c r="A37" s="29" t="s">
        <v>209</v>
      </c>
      <c r="B37" s="29" t="s">
        <v>173</v>
      </c>
      <c r="C37" s="29" t="s">
        <v>182</v>
      </c>
      <c r="D37" s="29" t="s">
        <v>30</v>
      </c>
      <c r="E37" s="29" t="s">
        <v>210</v>
      </c>
      <c r="F37" s="29"/>
      <c r="G37" s="29" t="s">
        <v>7</v>
      </c>
      <c r="H37" s="2" t="s">
        <v>5</v>
      </c>
      <c r="I37" s="29"/>
      <c r="J37" s="29"/>
      <c r="K37" s="19" t="s">
        <v>11</v>
      </c>
      <c r="L37" s="19" t="s">
        <v>17</v>
      </c>
      <c r="M37" s="30"/>
      <c r="N37" s="30" t="s">
        <v>211</v>
      </c>
      <c r="O37" s="32"/>
      <c r="P37" s="32"/>
      <c r="Q37" s="32"/>
      <c r="R37" s="32"/>
      <c r="S37" s="32"/>
    </row>
    <row r="38" spans="1:19" ht="16.5" customHeight="1">
      <c r="A38" s="29" t="s">
        <v>212</v>
      </c>
      <c r="B38" s="29" t="s">
        <v>173</v>
      </c>
      <c r="C38" s="29" t="s">
        <v>182</v>
      </c>
      <c r="D38" s="29" t="s">
        <v>30</v>
      </c>
      <c r="E38" s="29" t="s">
        <v>213</v>
      </c>
      <c r="F38" s="29"/>
      <c r="G38" s="29" t="s">
        <v>7</v>
      </c>
      <c r="H38" s="2" t="s">
        <v>5</v>
      </c>
      <c r="I38" s="29"/>
      <c r="J38" s="29"/>
      <c r="K38" s="19" t="s">
        <v>11</v>
      </c>
      <c r="L38" s="19" t="s">
        <v>17</v>
      </c>
      <c r="M38" s="30"/>
      <c r="N38" s="30" t="s">
        <v>214</v>
      </c>
      <c r="O38" s="32"/>
      <c r="P38" s="32"/>
      <c r="Q38" s="32"/>
      <c r="R38" s="32"/>
      <c r="S38" s="32"/>
    </row>
    <row r="39" spans="1:19" ht="16.5" customHeight="1">
      <c r="A39" s="29" t="s">
        <v>215</v>
      </c>
      <c r="B39" s="29" t="s">
        <v>173</v>
      </c>
      <c r="C39" s="29" t="s">
        <v>182</v>
      </c>
      <c r="D39" s="29" t="s">
        <v>30</v>
      </c>
      <c r="E39" s="29" t="s">
        <v>216</v>
      </c>
      <c r="F39" s="29"/>
      <c r="G39" s="29" t="s">
        <v>7</v>
      </c>
      <c r="H39" s="2" t="s">
        <v>5</v>
      </c>
      <c r="I39" s="29"/>
      <c r="J39" s="29"/>
      <c r="K39" s="19" t="s">
        <v>11</v>
      </c>
      <c r="L39" s="19" t="s">
        <v>17</v>
      </c>
      <c r="M39" s="30"/>
      <c r="N39" s="30" t="s">
        <v>217</v>
      </c>
      <c r="O39" s="32"/>
      <c r="P39" s="32"/>
      <c r="Q39" s="32"/>
      <c r="R39" s="32"/>
      <c r="S39" s="32"/>
    </row>
    <row r="40" spans="1:19" ht="16.5" customHeight="1">
      <c r="A40" s="29" t="s">
        <v>218</v>
      </c>
      <c r="B40" s="29" t="s">
        <v>173</v>
      </c>
      <c r="C40" s="29" t="s">
        <v>182</v>
      </c>
      <c r="D40" s="29" t="s">
        <v>30</v>
      </c>
      <c r="E40" s="29" t="s">
        <v>219</v>
      </c>
      <c r="F40" s="29"/>
      <c r="G40" s="29" t="s">
        <v>7</v>
      </c>
      <c r="H40" s="2" t="s">
        <v>5</v>
      </c>
      <c r="I40" s="29"/>
      <c r="J40" s="29"/>
      <c r="K40" s="19" t="s">
        <v>11</v>
      </c>
      <c r="L40" s="19" t="s">
        <v>17</v>
      </c>
      <c r="M40" s="30"/>
      <c r="N40" s="30" t="s">
        <v>220</v>
      </c>
      <c r="O40" s="32"/>
      <c r="P40" s="32"/>
      <c r="Q40" s="32"/>
      <c r="R40" s="32"/>
      <c r="S40" s="32"/>
    </row>
    <row r="41" spans="1:19" ht="16.5" customHeight="1">
      <c r="A41" s="29" t="s">
        <v>221</v>
      </c>
      <c r="B41" s="29" t="s">
        <v>173</v>
      </c>
      <c r="C41" s="29" t="s">
        <v>182</v>
      </c>
      <c r="D41" s="29" t="s">
        <v>30</v>
      </c>
      <c r="E41" s="29" t="s">
        <v>222</v>
      </c>
      <c r="F41" s="29"/>
      <c r="G41" s="29" t="s">
        <v>7</v>
      </c>
      <c r="H41" s="2" t="s">
        <v>5</v>
      </c>
      <c r="I41" s="29"/>
      <c r="J41" s="29"/>
      <c r="K41" s="19" t="s">
        <v>11</v>
      </c>
      <c r="L41" s="19" t="s">
        <v>17</v>
      </c>
      <c r="M41" s="30"/>
      <c r="N41" s="30" t="s">
        <v>223</v>
      </c>
      <c r="O41" s="32"/>
      <c r="P41" s="32"/>
      <c r="Q41" s="32"/>
      <c r="R41" s="32"/>
      <c r="S41" s="32"/>
    </row>
    <row r="42" spans="1:19" ht="16.5" customHeight="1">
      <c r="A42" s="29" t="s">
        <v>224</v>
      </c>
      <c r="B42" s="29" t="s">
        <v>173</v>
      </c>
      <c r="C42" s="29" t="s">
        <v>182</v>
      </c>
      <c r="D42" s="29" t="s">
        <v>30</v>
      </c>
      <c r="E42" s="29" t="s">
        <v>225</v>
      </c>
      <c r="F42" s="29"/>
      <c r="G42" s="29" t="s">
        <v>7</v>
      </c>
      <c r="H42" s="2" t="s">
        <v>5</v>
      </c>
      <c r="I42" s="29"/>
      <c r="J42" s="29"/>
      <c r="K42" s="19" t="s">
        <v>11</v>
      </c>
      <c r="L42" s="19" t="s">
        <v>17</v>
      </c>
      <c r="M42" s="30"/>
      <c r="N42" s="31" t="s">
        <v>226</v>
      </c>
      <c r="O42" s="32"/>
      <c r="P42" s="32"/>
      <c r="Q42" s="32"/>
      <c r="R42" s="32"/>
      <c r="S42" s="32"/>
    </row>
    <row r="43" spans="1:19" ht="16.5" customHeight="1">
      <c r="A43" s="29" t="s">
        <v>227</v>
      </c>
      <c r="B43" s="29" t="s">
        <v>173</v>
      </c>
      <c r="C43" s="29" t="s">
        <v>228</v>
      </c>
      <c r="D43" s="29" t="s">
        <v>30</v>
      </c>
      <c r="E43" s="29" t="s">
        <v>229</v>
      </c>
      <c r="F43" s="29"/>
      <c r="G43" s="29" t="s">
        <v>6</v>
      </c>
      <c r="H43" s="2" t="s">
        <v>5</v>
      </c>
      <c r="I43" s="29"/>
      <c r="J43" s="29"/>
      <c r="K43" s="19" t="s">
        <v>11</v>
      </c>
      <c r="L43" s="19" t="s">
        <v>17</v>
      </c>
      <c r="M43" s="30"/>
      <c r="N43" s="30" t="s">
        <v>230</v>
      </c>
      <c r="O43" s="32"/>
      <c r="P43" s="32"/>
      <c r="Q43" s="32"/>
      <c r="R43" s="32"/>
      <c r="S43" s="32"/>
    </row>
    <row r="44" spans="1:19" ht="16.5" customHeight="1">
      <c r="A44" s="29" t="s">
        <v>231</v>
      </c>
      <c r="B44" s="29" t="s">
        <v>173</v>
      </c>
      <c r="C44" s="29" t="s">
        <v>228</v>
      </c>
      <c r="D44" s="29" t="s">
        <v>30</v>
      </c>
      <c r="E44" s="29" t="s">
        <v>232</v>
      </c>
      <c r="F44" s="29"/>
      <c r="G44" s="29" t="s">
        <v>7</v>
      </c>
      <c r="H44" s="2" t="s">
        <v>5</v>
      </c>
      <c r="I44" s="29"/>
      <c r="J44" s="29"/>
      <c r="K44" s="19" t="s">
        <v>11</v>
      </c>
      <c r="L44" s="19" t="s">
        <v>17</v>
      </c>
      <c r="M44" s="30"/>
      <c r="N44" s="30" t="s">
        <v>233</v>
      </c>
      <c r="O44" s="32"/>
      <c r="P44" s="32"/>
      <c r="Q44" s="32"/>
      <c r="R44" s="32"/>
      <c r="S44" s="32"/>
    </row>
    <row r="45" spans="1:19" ht="16.5" customHeight="1">
      <c r="A45" s="29" t="s">
        <v>234</v>
      </c>
      <c r="B45" s="29" t="s">
        <v>173</v>
      </c>
      <c r="C45" s="29" t="s">
        <v>228</v>
      </c>
      <c r="D45" s="29" t="s">
        <v>30</v>
      </c>
      <c r="E45" s="29" t="s">
        <v>235</v>
      </c>
      <c r="F45" s="29"/>
      <c r="G45" s="29" t="s">
        <v>7</v>
      </c>
      <c r="H45" s="2" t="s">
        <v>5</v>
      </c>
      <c r="I45" s="29"/>
      <c r="J45" s="29"/>
      <c r="K45" s="19" t="s">
        <v>11</v>
      </c>
      <c r="L45" s="19"/>
      <c r="M45" s="30"/>
      <c r="N45" s="31" t="s">
        <v>236</v>
      </c>
      <c r="O45" s="32"/>
      <c r="P45" s="32"/>
      <c r="Q45" s="32"/>
      <c r="R45" s="32"/>
      <c r="S45" s="32"/>
    </row>
    <row r="46" spans="1:19" ht="16.5" customHeight="1">
      <c r="A46" s="29" t="s">
        <v>237</v>
      </c>
      <c r="B46" s="29" t="s">
        <v>238</v>
      </c>
      <c r="C46" s="29" t="s">
        <v>239</v>
      </c>
      <c r="D46" s="29" t="s">
        <v>30</v>
      </c>
      <c r="E46" s="29" t="s">
        <v>240</v>
      </c>
      <c r="F46" s="29"/>
      <c r="G46" s="29" t="s">
        <v>4</v>
      </c>
      <c r="H46" s="2" t="s">
        <v>5</v>
      </c>
      <c r="I46" s="29"/>
      <c r="J46" s="29" t="s">
        <v>104</v>
      </c>
      <c r="K46" s="19" t="s">
        <v>11</v>
      </c>
      <c r="L46" s="19"/>
      <c r="M46" s="30"/>
      <c r="N46" s="31" t="s">
        <v>241</v>
      </c>
      <c r="O46" s="32"/>
      <c r="P46" s="32"/>
      <c r="Q46" s="32"/>
      <c r="R46" s="32"/>
      <c r="S46" s="32"/>
    </row>
    <row r="47" spans="1:19" ht="16.5" customHeight="1">
      <c r="A47" s="29" t="s">
        <v>242</v>
      </c>
      <c r="B47" s="29" t="s">
        <v>238</v>
      </c>
      <c r="C47" s="29" t="s">
        <v>243</v>
      </c>
      <c r="D47" s="29" t="s">
        <v>30</v>
      </c>
      <c r="E47" s="29" t="s">
        <v>244</v>
      </c>
      <c r="F47" s="29"/>
      <c r="G47" s="29" t="s">
        <v>7</v>
      </c>
      <c r="H47" s="2" t="s">
        <v>5</v>
      </c>
      <c r="I47" s="29"/>
      <c r="J47" s="29"/>
      <c r="K47" s="19" t="s">
        <v>11</v>
      </c>
      <c r="L47" s="19" t="s">
        <v>17</v>
      </c>
      <c r="M47" s="30" t="s">
        <v>245</v>
      </c>
      <c r="N47" s="30" t="s">
        <v>246</v>
      </c>
      <c r="O47" s="32"/>
      <c r="P47" s="32"/>
      <c r="Q47" s="32"/>
      <c r="R47" s="32"/>
      <c r="S47" s="32"/>
    </row>
    <row r="48" spans="1:19" ht="16.5" customHeight="1">
      <c r="A48" s="29" t="s">
        <v>247</v>
      </c>
      <c r="B48" s="29" t="s">
        <v>238</v>
      </c>
      <c r="C48" s="29" t="s">
        <v>243</v>
      </c>
      <c r="D48" s="29" t="s">
        <v>30</v>
      </c>
      <c r="E48" s="29" t="s">
        <v>248</v>
      </c>
      <c r="F48" s="29"/>
      <c r="G48" s="29" t="s">
        <v>7</v>
      </c>
      <c r="H48" s="2" t="s">
        <v>5</v>
      </c>
      <c r="I48" s="29"/>
      <c r="J48" s="29"/>
      <c r="K48" s="19" t="s">
        <v>11</v>
      </c>
      <c r="L48" s="19" t="s">
        <v>17</v>
      </c>
      <c r="M48" s="30"/>
      <c r="N48" s="30" t="s">
        <v>249</v>
      </c>
      <c r="O48" s="32"/>
      <c r="P48" s="32"/>
      <c r="Q48" s="32"/>
      <c r="R48" s="32"/>
      <c r="S48" s="32"/>
    </row>
    <row r="49" spans="1:19" ht="16.5" customHeight="1">
      <c r="A49" s="29" t="s">
        <v>250</v>
      </c>
      <c r="B49" s="29" t="s">
        <v>238</v>
      </c>
      <c r="C49" s="29" t="s">
        <v>243</v>
      </c>
      <c r="D49" s="29" t="s">
        <v>30</v>
      </c>
      <c r="E49" s="29" t="s">
        <v>251</v>
      </c>
      <c r="F49" s="29"/>
      <c r="G49" s="29" t="s">
        <v>7</v>
      </c>
      <c r="H49" s="2" t="s">
        <v>5</v>
      </c>
      <c r="I49" s="29"/>
      <c r="J49" s="29"/>
      <c r="K49" s="19" t="s">
        <v>11</v>
      </c>
      <c r="L49" s="19" t="s">
        <v>17</v>
      </c>
      <c r="M49" s="30"/>
      <c r="N49" s="30" t="s">
        <v>252</v>
      </c>
      <c r="O49" s="32"/>
      <c r="P49" s="32"/>
      <c r="Q49" s="32"/>
      <c r="R49" s="32"/>
      <c r="S49" s="32"/>
    </row>
    <row r="50" spans="1:19" ht="16.5" customHeight="1">
      <c r="A50" s="29" t="s">
        <v>253</v>
      </c>
      <c r="B50" s="29" t="s">
        <v>238</v>
      </c>
      <c r="C50" s="29" t="s">
        <v>243</v>
      </c>
      <c r="D50" s="29" t="s">
        <v>30</v>
      </c>
      <c r="E50" s="29" t="s">
        <v>254</v>
      </c>
      <c r="F50" s="29"/>
      <c r="G50" s="29" t="s">
        <v>7</v>
      </c>
      <c r="H50" s="2" t="s">
        <v>5</v>
      </c>
      <c r="I50" s="29"/>
      <c r="J50" s="29"/>
      <c r="K50" s="19" t="s">
        <v>11</v>
      </c>
      <c r="L50" s="19" t="s">
        <v>17</v>
      </c>
      <c r="M50" s="30"/>
      <c r="N50" s="30" t="s">
        <v>255</v>
      </c>
      <c r="O50" s="32"/>
      <c r="P50" s="32"/>
      <c r="Q50" s="32"/>
      <c r="R50" s="32"/>
      <c r="S50" s="32"/>
    </row>
    <row r="51" spans="1:19" ht="16.5" customHeight="1">
      <c r="A51" s="29" t="s">
        <v>256</v>
      </c>
      <c r="B51" s="29" t="s">
        <v>238</v>
      </c>
      <c r="C51" s="29" t="s">
        <v>243</v>
      </c>
      <c r="D51" s="29" t="s">
        <v>30</v>
      </c>
      <c r="E51" s="29" t="s">
        <v>257</v>
      </c>
      <c r="F51" s="29"/>
      <c r="G51" s="29" t="s">
        <v>7</v>
      </c>
      <c r="H51" s="2" t="s">
        <v>5</v>
      </c>
      <c r="I51" s="29"/>
      <c r="J51" s="29"/>
      <c r="K51" s="19" t="s">
        <v>11</v>
      </c>
      <c r="L51" s="19"/>
      <c r="M51" s="30" t="s">
        <v>258</v>
      </c>
      <c r="N51" s="30" t="s">
        <v>259</v>
      </c>
      <c r="O51" s="32"/>
      <c r="P51" s="32"/>
      <c r="Q51" s="32"/>
      <c r="R51" s="32"/>
      <c r="S51" s="32"/>
    </row>
    <row r="52" spans="1:19" ht="16.5" customHeight="1">
      <c r="A52" s="29" t="s">
        <v>260</v>
      </c>
      <c r="B52" s="29" t="s">
        <v>238</v>
      </c>
      <c r="C52" s="29" t="s">
        <v>243</v>
      </c>
      <c r="D52" s="29" t="s">
        <v>30</v>
      </c>
      <c r="E52" s="29" t="s">
        <v>261</v>
      </c>
      <c r="F52" s="29"/>
      <c r="G52" s="29" t="s">
        <v>7</v>
      </c>
      <c r="H52" s="2" t="s">
        <v>5</v>
      </c>
      <c r="I52" s="29"/>
      <c r="J52" s="29"/>
      <c r="K52" s="19" t="s">
        <v>11</v>
      </c>
      <c r="L52" s="19"/>
      <c r="M52" s="30"/>
      <c r="N52" s="30" t="s">
        <v>262</v>
      </c>
      <c r="O52" s="32"/>
      <c r="P52" s="32"/>
      <c r="Q52" s="32"/>
      <c r="R52" s="32"/>
      <c r="S52" s="32"/>
    </row>
    <row r="53" spans="1:19" ht="16.5" customHeight="1">
      <c r="A53" s="29" t="s">
        <v>263</v>
      </c>
      <c r="B53" s="29" t="s">
        <v>238</v>
      </c>
      <c r="C53" s="29" t="s">
        <v>243</v>
      </c>
      <c r="D53" s="29" t="s">
        <v>30</v>
      </c>
      <c r="E53" s="29" t="s">
        <v>264</v>
      </c>
      <c r="F53" s="29"/>
      <c r="G53" s="29" t="s">
        <v>7</v>
      </c>
      <c r="H53" s="2" t="s">
        <v>5</v>
      </c>
      <c r="I53" s="29"/>
      <c r="J53" s="29"/>
      <c r="K53" s="19" t="s">
        <v>11</v>
      </c>
      <c r="L53" s="19"/>
      <c r="M53" s="30"/>
      <c r="N53" s="30" t="s">
        <v>265</v>
      </c>
      <c r="O53" s="32"/>
      <c r="P53" s="32"/>
      <c r="Q53" s="32"/>
      <c r="R53" s="32"/>
      <c r="S53" s="32"/>
    </row>
    <row r="54" spans="1:19" ht="16.5" customHeight="1">
      <c r="A54" s="29" t="s">
        <v>266</v>
      </c>
      <c r="B54" s="29" t="s">
        <v>238</v>
      </c>
      <c r="C54" s="29" t="s">
        <v>243</v>
      </c>
      <c r="D54" s="29" t="s">
        <v>30</v>
      </c>
      <c r="E54" s="29" t="s">
        <v>267</v>
      </c>
      <c r="F54" s="29"/>
      <c r="G54" s="29" t="s">
        <v>4</v>
      </c>
      <c r="H54" s="2" t="s">
        <v>5</v>
      </c>
      <c r="I54" s="29"/>
      <c r="J54" s="29" t="s">
        <v>104</v>
      </c>
      <c r="K54" s="19" t="s">
        <v>11</v>
      </c>
      <c r="L54" s="19"/>
      <c r="M54" s="30"/>
      <c r="N54" s="30" t="s">
        <v>268</v>
      </c>
      <c r="O54" s="32"/>
      <c r="P54" s="32"/>
      <c r="Q54" s="32"/>
      <c r="R54" s="32"/>
      <c r="S54" s="32"/>
    </row>
    <row r="55" spans="1:19" ht="16.5" customHeight="1">
      <c r="A55" s="29" t="s">
        <v>269</v>
      </c>
      <c r="B55" s="29" t="s">
        <v>238</v>
      </c>
      <c r="C55" s="29" t="s">
        <v>243</v>
      </c>
      <c r="D55" s="29" t="s">
        <v>30</v>
      </c>
      <c r="E55" s="29" t="s">
        <v>270</v>
      </c>
      <c r="F55" s="29"/>
      <c r="G55" s="29" t="s">
        <v>7</v>
      </c>
      <c r="H55" s="2" t="s">
        <v>5</v>
      </c>
      <c r="I55" s="29"/>
      <c r="J55" s="29"/>
      <c r="K55" s="19" t="s">
        <v>11</v>
      </c>
      <c r="L55" s="19"/>
      <c r="M55" s="30"/>
      <c r="N55" s="30" t="s">
        <v>271</v>
      </c>
      <c r="O55" s="32"/>
      <c r="P55" s="32"/>
      <c r="Q55" s="32"/>
      <c r="R55" s="32"/>
      <c r="S55" s="32"/>
    </row>
    <row r="56" spans="1:19" ht="16.5" customHeight="1">
      <c r="A56" s="29" t="s">
        <v>272</v>
      </c>
      <c r="B56" s="29" t="s">
        <v>238</v>
      </c>
      <c r="C56" s="29" t="s">
        <v>243</v>
      </c>
      <c r="D56" s="29" t="s">
        <v>30</v>
      </c>
      <c r="E56" s="29" t="s">
        <v>273</v>
      </c>
      <c r="F56" s="29"/>
      <c r="G56" s="29" t="s">
        <v>4</v>
      </c>
      <c r="H56" s="2" t="s">
        <v>5</v>
      </c>
      <c r="I56" s="29"/>
      <c r="J56" s="29" t="s">
        <v>104</v>
      </c>
      <c r="K56" s="19" t="s">
        <v>11</v>
      </c>
      <c r="L56" s="19" t="s">
        <v>17</v>
      </c>
      <c r="M56" s="30"/>
      <c r="N56" s="30" t="s">
        <v>274</v>
      </c>
      <c r="O56" s="32"/>
      <c r="P56" s="32"/>
      <c r="Q56" s="32"/>
      <c r="R56" s="32"/>
      <c r="S56" s="32"/>
    </row>
    <row r="57" spans="1:19" ht="16.5" customHeight="1">
      <c r="A57" s="29" t="s">
        <v>275</v>
      </c>
      <c r="B57" s="29" t="s">
        <v>238</v>
      </c>
      <c r="C57" s="29" t="s">
        <v>243</v>
      </c>
      <c r="D57" s="29" t="s">
        <v>30</v>
      </c>
      <c r="E57" s="29" t="s">
        <v>276</v>
      </c>
      <c r="F57" s="29"/>
      <c r="G57" s="29" t="s">
        <v>4</v>
      </c>
      <c r="H57" s="2" t="s">
        <v>5</v>
      </c>
      <c r="I57" s="29"/>
      <c r="J57" s="29" t="s">
        <v>104</v>
      </c>
      <c r="K57" s="19" t="s">
        <v>11</v>
      </c>
      <c r="L57" s="19" t="s">
        <v>17</v>
      </c>
      <c r="M57" s="30"/>
      <c r="N57" s="30" t="s">
        <v>277</v>
      </c>
      <c r="O57" s="32"/>
      <c r="P57" s="32"/>
      <c r="Q57" s="32"/>
      <c r="R57" s="32"/>
      <c r="S57" s="32"/>
    </row>
    <row r="58" spans="1:19" ht="16.5" customHeight="1">
      <c r="A58" s="29" t="s">
        <v>278</v>
      </c>
      <c r="B58" s="29" t="s">
        <v>238</v>
      </c>
      <c r="C58" s="29" t="s">
        <v>243</v>
      </c>
      <c r="D58" s="29" t="s">
        <v>30</v>
      </c>
      <c r="E58" s="29" t="s">
        <v>279</v>
      </c>
      <c r="F58" s="29"/>
      <c r="G58" s="29" t="s">
        <v>4</v>
      </c>
      <c r="H58" s="2" t="s">
        <v>5</v>
      </c>
      <c r="I58" s="29"/>
      <c r="J58" s="29" t="s">
        <v>104</v>
      </c>
      <c r="K58" s="19" t="s">
        <v>11</v>
      </c>
      <c r="L58" s="19" t="s">
        <v>17</v>
      </c>
      <c r="M58" s="30"/>
      <c r="N58" s="30" t="s">
        <v>280</v>
      </c>
      <c r="O58" s="32"/>
      <c r="P58" s="32"/>
      <c r="Q58" s="32"/>
      <c r="R58" s="32"/>
      <c r="S58" s="32"/>
    </row>
    <row r="59" spans="1:19" ht="16.5" customHeight="1">
      <c r="A59" s="29" t="s">
        <v>281</v>
      </c>
      <c r="B59" s="29" t="s">
        <v>238</v>
      </c>
      <c r="C59" s="29" t="s">
        <v>243</v>
      </c>
      <c r="D59" s="29" t="s">
        <v>30</v>
      </c>
      <c r="E59" s="29" t="s">
        <v>282</v>
      </c>
      <c r="F59" s="29"/>
      <c r="G59" s="29" t="s">
        <v>7</v>
      </c>
      <c r="H59" s="2" t="s">
        <v>5</v>
      </c>
      <c r="I59" s="29"/>
      <c r="J59" s="29"/>
      <c r="K59" s="19" t="s">
        <v>11</v>
      </c>
      <c r="L59" s="19" t="s">
        <v>17</v>
      </c>
      <c r="M59" s="30"/>
      <c r="N59" s="30" t="s">
        <v>283</v>
      </c>
      <c r="O59" s="32"/>
      <c r="P59" s="32"/>
      <c r="Q59" s="32"/>
      <c r="R59" s="32"/>
      <c r="S59" s="32"/>
    </row>
    <row r="60" spans="1:19" ht="16.5" customHeight="1">
      <c r="A60" s="29" t="s">
        <v>284</v>
      </c>
      <c r="B60" s="29" t="s">
        <v>238</v>
      </c>
      <c r="C60" s="29" t="s">
        <v>243</v>
      </c>
      <c r="D60" s="29" t="s">
        <v>30</v>
      </c>
      <c r="E60" s="29" t="s">
        <v>285</v>
      </c>
      <c r="F60" s="29"/>
      <c r="G60" s="29" t="s">
        <v>7</v>
      </c>
      <c r="H60" s="2" t="s">
        <v>5</v>
      </c>
      <c r="I60" s="29"/>
      <c r="J60" s="29"/>
      <c r="K60" s="19" t="s">
        <v>11</v>
      </c>
      <c r="L60" s="19" t="s">
        <v>17</v>
      </c>
      <c r="M60" s="30" t="s">
        <v>286</v>
      </c>
      <c r="N60" s="30" t="s">
        <v>287</v>
      </c>
      <c r="O60" s="32"/>
      <c r="P60" s="32"/>
      <c r="Q60" s="32"/>
      <c r="R60" s="32"/>
      <c r="S60" s="32"/>
    </row>
    <row r="61" spans="1:19" ht="16.5" customHeight="1">
      <c r="A61" s="29" t="s">
        <v>288</v>
      </c>
      <c r="B61" s="29" t="s">
        <v>238</v>
      </c>
      <c r="C61" s="29" t="s">
        <v>289</v>
      </c>
      <c r="D61" s="29" t="s">
        <v>91</v>
      </c>
      <c r="E61" s="29" t="s">
        <v>290</v>
      </c>
      <c r="F61" s="29"/>
      <c r="G61" s="29" t="s">
        <v>4</v>
      </c>
      <c r="H61" s="2" t="s">
        <v>5</v>
      </c>
      <c r="I61" s="29"/>
      <c r="J61" s="29"/>
      <c r="K61" s="19" t="s">
        <v>11</v>
      </c>
      <c r="L61" s="19" t="s">
        <v>17</v>
      </c>
      <c r="M61" s="30"/>
      <c r="N61" s="30" t="s">
        <v>291</v>
      </c>
      <c r="O61" s="32"/>
      <c r="P61" s="32"/>
      <c r="Q61" s="32"/>
      <c r="R61" s="32"/>
      <c r="S61" s="32"/>
    </row>
    <row r="62" spans="1:19" ht="16.5" customHeight="1">
      <c r="A62" s="29" t="s">
        <v>292</v>
      </c>
      <c r="B62" s="29" t="s">
        <v>238</v>
      </c>
      <c r="C62" s="29" t="s">
        <v>289</v>
      </c>
      <c r="D62" s="29" t="s">
        <v>91</v>
      </c>
      <c r="E62" s="29" t="s">
        <v>293</v>
      </c>
      <c r="F62" s="29"/>
      <c r="G62" s="29" t="s">
        <v>7</v>
      </c>
      <c r="H62" s="2" t="s">
        <v>5</v>
      </c>
      <c r="I62" s="29"/>
      <c r="J62" s="29"/>
      <c r="K62" s="19" t="s">
        <v>11</v>
      </c>
      <c r="L62" s="19" t="s">
        <v>17</v>
      </c>
      <c r="M62" s="30"/>
      <c r="N62" s="30" t="s">
        <v>294</v>
      </c>
      <c r="O62" s="32"/>
      <c r="P62" s="32"/>
      <c r="Q62" s="32"/>
      <c r="R62" s="32"/>
      <c r="S62" s="32"/>
    </row>
    <row r="63" spans="1:19" ht="16.5" customHeight="1">
      <c r="A63" s="29" t="s">
        <v>295</v>
      </c>
      <c r="B63" s="29" t="s">
        <v>238</v>
      </c>
      <c r="C63" s="29" t="s">
        <v>289</v>
      </c>
      <c r="D63" s="29" t="s">
        <v>91</v>
      </c>
      <c r="E63" s="29" t="s">
        <v>296</v>
      </c>
      <c r="F63" s="29"/>
      <c r="G63" s="29" t="s">
        <v>7</v>
      </c>
      <c r="H63" s="2" t="s">
        <v>5</v>
      </c>
      <c r="I63" s="29"/>
      <c r="J63" s="29"/>
      <c r="K63" s="19" t="s">
        <v>11</v>
      </c>
      <c r="L63" s="19" t="s">
        <v>17</v>
      </c>
      <c r="M63" s="30"/>
      <c r="N63" s="30" t="s">
        <v>297</v>
      </c>
      <c r="O63" s="32"/>
      <c r="P63" s="32"/>
      <c r="Q63" s="32"/>
      <c r="R63" s="32"/>
      <c r="S63" s="32"/>
    </row>
    <row r="64" spans="1:19" ht="16.5" customHeight="1">
      <c r="A64" s="29" t="s">
        <v>298</v>
      </c>
      <c r="B64" s="29" t="s">
        <v>299</v>
      </c>
      <c r="C64" s="29" t="s">
        <v>300</v>
      </c>
      <c r="D64" s="29" t="s">
        <v>89</v>
      </c>
      <c r="E64" s="29" t="s">
        <v>301</v>
      </c>
      <c r="F64" s="29"/>
      <c r="G64" s="29" t="s">
        <v>7</v>
      </c>
      <c r="H64" s="2" t="s">
        <v>5</v>
      </c>
      <c r="I64" s="29"/>
      <c r="J64" s="29"/>
      <c r="K64" s="19" t="s">
        <v>11</v>
      </c>
      <c r="L64" s="19"/>
      <c r="M64" s="30"/>
      <c r="N64" s="30" t="s">
        <v>302</v>
      </c>
      <c r="O64" s="32"/>
      <c r="P64" s="32"/>
      <c r="Q64" s="32"/>
      <c r="R64" s="32"/>
      <c r="S64" s="32"/>
    </row>
    <row r="65" spans="1:19" ht="16.5" customHeight="1">
      <c r="A65" s="29" t="s">
        <v>303</v>
      </c>
      <c r="B65" s="29" t="s">
        <v>299</v>
      </c>
      <c r="C65" s="29" t="s">
        <v>300</v>
      </c>
      <c r="D65" s="29" t="s">
        <v>30</v>
      </c>
      <c r="E65" s="29" t="s">
        <v>304</v>
      </c>
      <c r="F65" s="29"/>
      <c r="G65" s="29" t="s">
        <v>7</v>
      </c>
      <c r="H65" s="2" t="s">
        <v>5</v>
      </c>
      <c r="I65" s="29"/>
      <c r="J65" s="29"/>
      <c r="K65" s="19" t="s">
        <v>11</v>
      </c>
      <c r="L65" s="19" t="s">
        <v>17</v>
      </c>
      <c r="M65" s="30"/>
      <c r="N65" s="30" t="s">
        <v>305</v>
      </c>
      <c r="O65" s="32"/>
      <c r="P65" s="32"/>
      <c r="Q65" s="32"/>
      <c r="R65" s="32"/>
      <c r="S65" s="32"/>
    </row>
    <row r="66" spans="1:19" ht="16.5" customHeight="1">
      <c r="A66" s="29" t="s">
        <v>306</v>
      </c>
      <c r="B66" s="29" t="s">
        <v>299</v>
      </c>
      <c r="C66" s="29" t="s">
        <v>300</v>
      </c>
      <c r="D66" s="29" t="s">
        <v>30</v>
      </c>
      <c r="E66" s="29" t="s">
        <v>307</v>
      </c>
      <c r="F66" s="29"/>
      <c r="G66" s="29" t="s">
        <v>7</v>
      </c>
      <c r="H66" s="2" t="s">
        <v>5</v>
      </c>
      <c r="I66" s="29"/>
      <c r="J66" s="29"/>
      <c r="K66" s="19" t="s">
        <v>11</v>
      </c>
      <c r="L66" s="19" t="s">
        <v>17</v>
      </c>
      <c r="M66" s="30"/>
      <c r="N66" s="30" t="s">
        <v>308</v>
      </c>
      <c r="O66" s="32"/>
      <c r="P66" s="32"/>
      <c r="Q66" s="32"/>
      <c r="R66" s="32"/>
      <c r="S66" s="32"/>
    </row>
    <row r="67" spans="1:19" ht="16.5" customHeight="1">
      <c r="A67" s="29" t="s">
        <v>309</v>
      </c>
      <c r="B67" s="29" t="s">
        <v>299</v>
      </c>
      <c r="C67" s="29" t="s">
        <v>310</v>
      </c>
      <c r="D67" s="29" t="s">
        <v>30</v>
      </c>
      <c r="E67" s="29" t="s">
        <v>311</v>
      </c>
      <c r="F67" s="29"/>
      <c r="G67" s="29" t="s">
        <v>7</v>
      </c>
      <c r="H67" s="2" t="s">
        <v>5</v>
      </c>
      <c r="I67" s="29"/>
      <c r="J67" s="29"/>
      <c r="K67" s="19" t="s">
        <v>11</v>
      </c>
      <c r="L67" s="19"/>
      <c r="M67" s="30"/>
      <c r="N67" s="30" t="s">
        <v>312</v>
      </c>
      <c r="O67" s="32"/>
      <c r="P67" s="32"/>
      <c r="Q67" s="32"/>
      <c r="R67" s="32"/>
      <c r="S67" s="32"/>
    </row>
    <row r="68" spans="1:19" ht="16.5" customHeight="1">
      <c r="A68" s="29" t="s">
        <v>313</v>
      </c>
      <c r="B68" s="29" t="s">
        <v>299</v>
      </c>
      <c r="C68" s="29" t="s">
        <v>310</v>
      </c>
      <c r="D68" s="29" t="s">
        <v>30</v>
      </c>
      <c r="E68" s="29" t="s">
        <v>314</v>
      </c>
      <c r="F68" s="29"/>
      <c r="G68" s="29" t="s">
        <v>6</v>
      </c>
      <c r="H68" s="2" t="s">
        <v>5</v>
      </c>
      <c r="I68" s="29"/>
      <c r="J68" s="29"/>
      <c r="K68" s="19" t="s">
        <v>11</v>
      </c>
      <c r="L68" s="19" t="s">
        <v>17</v>
      </c>
      <c r="M68" s="30"/>
      <c r="N68" s="30" t="s">
        <v>315</v>
      </c>
      <c r="O68" s="32"/>
      <c r="P68" s="32"/>
      <c r="Q68" s="32"/>
      <c r="R68" s="32"/>
      <c r="S68" s="32"/>
    </row>
    <row r="69" spans="1:19" ht="16.5" customHeight="1">
      <c r="A69" s="29" t="s">
        <v>316</v>
      </c>
      <c r="B69" s="29" t="s">
        <v>299</v>
      </c>
      <c r="C69" s="29" t="s">
        <v>317</v>
      </c>
      <c r="D69" s="29" t="s">
        <v>30</v>
      </c>
      <c r="E69" s="29" t="s">
        <v>318</v>
      </c>
      <c r="F69" s="29"/>
      <c r="G69" s="29" t="s">
        <v>7</v>
      </c>
      <c r="H69" s="2" t="s">
        <v>5</v>
      </c>
      <c r="I69" s="29"/>
      <c r="J69" s="29"/>
      <c r="K69" s="19" t="s">
        <v>11</v>
      </c>
      <c r="L69" s="19" t="s">
        <v>17</v>
      </c>
      <c r="M69" s="30"/>
      <c r="N69" s="30" t="s">
        <v>319</v>
      </c>
      <c r="O69" s="32"/>
      <c r="P69" s="32"/>
      <c r="Q69" s="32"/>
      <c r="R69" s="32"/>
      <c r="S69" s="32"/>
    </row>
    <row r="70" spans="1:19" ht="16.5" customHeight="1">
      <c r="A70" s="29" t="s">
        <v>320</v>
      </c>
      <c r="B70" s="29" t="s">
        <v>299</v>
      </c>
      <c r="C70" s="29" t="s">
        <v>317</v>
      </c>
      <c r="D70" s="29" t="s">
        <v>56</v>
      </c>
      <c r="E70" s="29" t="s">
        <v>321</v>
      </c>
      <c r="F70" s="29"/>
      <c r="G70" s="29" t="s">
        <v>4</v>
      </c>
      <c r="H70" s="2" t="s">
        <v>5</v>
      </c>
      <c r="I70" s="29"/>
      <c r="J70" s="29" t="s">
        <v>104</v>
      </c>
      <c r="K70" s="19" t="s">
        <v>11</v>
      </c>
      <c r="L70" s="19"/>
      <c r="M70" s="30"/>
      <c r="N70" s="30" t="s">
        <v>322</v>
      </c>
      <c r="O70" s="32"/>
      <c r="P70" s="32"/>
      <c r="Q70" s="32"/>
      <c r="R70" s="32"/>
      <c r="S70" s="32"/>
    </row>
    <row r="71" spans="1:19" ht="16.5" customHeight="1">
      <c r="A71" s="29" t="s">
        <v>323</v>
      </c>
      <c r="B71" s="29" t="s">
        <v>299</v>
      </c>
      <c r="C71" s="29" t="s">
        <v>317</v>
      </c>
      <c r="D71" s="29" t="s">
        <v>91</v>
      </c>
      <c r="E71" s="29" t="s">
        <v>324</v>
      </c>
      <c r="F71" s="29"/>
      <c r="G71" s="29" t="s">
        <v>7</v>
      </c>
      <c r="H71" s="2" t="s">
        <v>5</v>
      </c>
      <c r="I71" s="29"/>
      <c r="J71" s="29"/>
      <c r="K71" s="19" t="s">
        <v>11</v>
      </c>
      <c r="L71" s="19"/>
      <c r="M71" s="30"/>
      <c r="N71" s="30" t="s">
        <v>325</v>
      </c>
      <c r="O71" s="32"/>
      <c r="P71" s="32"/>
      <c r="Q71" s="32"/>
      <c r="R71" s="32"/>
      <c r="S71" s="32"/>
    </row>
    <row r="72" spans="1:19" ht="16.5" customHeight="1">
      <c r="A72" s="29" t="s">
        <v>326</v>
      </c>
      <c r="B72" s="29" t="s">
        <v>299</v>
      </c>
      <c r="C72" s="29" t="s">
        <v>317</v>
      </c>
      <c r="D72" s="29" t="s">
        <v>30</v>
      </c>
      <c r="E72" s="29" t="s">
        <v>327</v>
      </c>
      <c r="F72" s="29"/>
      <c r="G72" s="29" t="s">
        <v>6</v>
      </c>
      <c r="H72" s="2" t="s">
        <v>5</v>
      </c>
      <c r="I72" s="29"/>
      <c r="J72" s="29"/>
      <c r="K72" s="19" t="s">
        <v>11</v>
      </c>
      <c r="L72" s="19"/>
      <c r="M72" s="30"/>
      <c r="N72" s="31" t="s">
        <v>328</v>
      </c>
      <c r="O72" s="32"/>
      <c r="P72" s="32"/>
      <c r="Q72" s="32"/>
      <c r="R72" s="32"/>
      <c r="S72" s="32"/>
    </row>
    <row r="73" spans="1:19" ht="16.5" customHeight="1">
      <c r="A73" s="29" t="s">
        <v>329</v>
      </c>
      <c r="B73" s="29" t="s">
        <v>299</v>
      </c>
      <c r="C73" s="29" t="s">
        <v>317</v>
      </c>
      <c r="D73" s="29" t="s">
        <v>30</v>
      </c>
      <c r="E73" s="29" t="s">
        <v>330</v>
      </c>
      <c r="F73" s="29"/>
      <c r="G73" s="29" t="s">
        <v>6</v>
      </c>
      <c r="H73" s="2" t="s">
        <v>5</v>
      </c>
      <c r="I73" s="29"/>
      <c r="J73" s="29"/>
      <c r="K73" s="19" t="s">
        <v>11</v>
      </c>
      <c r="L73" s="19"/>
      <c r="M73" s="30" t="s">
        <v>331</v>
      </c>
      <c r="N73" s="31" t="s">
        <v>332</v>
      </c>
      <c r="O73" s="32"/>
      <c r="P73" s="32"/>
      <c r="Q73" s="32"/>
      <c r="R73" s="32"/>
      <c r="S73" s="32"/>
    </row>
    <row r="74" spans="1:19" ht="16.5" customHeight="1">
      <c r="A74" s="29" t="s">
        <v>333</v>
      </c>
      <c r="B74" s="29" t="s">
        <v>299</v>
      </c>
      <c r="C74" s="29" t="s">
        <v>317</v>
      </c>
      <c r="D74" s="29" t="s">
        <v>92</v>
      </c>
      <c r="E74" s="29" t="s">
        <v>334</v>
      </c>
      <c r="F74" s="29"/>
      <c r="G74" s="29" t="s">
        <v>7</v>
      </c>
      <c r="H74" s="2" t="s">
        <v>5</v>
      </c>
      <c r="I74" s="29"/>
      <c r="J74" s="29"/>
      <c r="K74" s="19" t="s">
        <v>11</v>
      </c>
      <c r="L74" s="19" t="s">
        <v>17</v>
      </c>
      <c r="M74" s="30"/>
      <c r="N74" s="31" t="s">
        <v>335</v>
      </c>
      <c r="O74" s="32"/>
      <c r="P74" s="32"/>
      <c r="Q74" s="32"/>
      <c r="R74" s="32"/>
      <c r="S74" s="32"/>
    </row>
    <row r="75" spans="1:19" ht="16.5" customHeight="1">
      <c r="A75" s="29" t="s">
        <v>336</v>
      </c>
      <c r="B75" s="29" t="s">
        <v>299</v>
      </c>
      <c r="C75" s="29" t="s">
        <v>317</v>
      </c>
      <c r="D75" s="29" t="s">
        <v>89</v>
      </c>
      <c r="E75" s="29" t="s">
        <v>337</v>
      </c>
      <c r="F75" s="29"/>
      <c r="G75" s="29" t="s">
        <v>7</v>
      </c>
      <c r="H75" s="2" t="s">
        <v>5</v>
      </c>
      <c r="I75" s="29"/>
      <c r="J75" s="29"/>
      <c r="K75" s="19" t="s">
        <v>11</v>
      </c>
      <c r="L75" s="19" t="s">
        <v>17</v>
      </c>
      <c r="M75" s="30"/>
      <c r="N75" s="30" t="s">
        <v>338</v>
      </c>
      <c r="O75" s="32"/>
      <c r="P75" s="32"/>
      <c r="Q75" s="32"/>
      <c r="R75" s="32"/>
      <c r="S75" s="32"/>
    </row>
    <row r="76" spans="1:19" ht="16.5" customHeight="1">
      <c r="A76" s="29" t="s">
        <v>339</v>
      </c>
      <c r="B76" s="29" t="s">
        <v>299</v>
      </c>
      <c r="C76" s="29" t="s">
        <v>317</v>
      </c>
      <c r="D76" s="29" t="s">
        <v>91</v>
      </c>
      <c r="E76" s="29" t="s">
        <v>340</v>
      </c>
      <c r="F76" s="29"/>
      <c r="G76" s="29" t="s">
        <v>7</v>
      </c>
      <c r="H76" s="2" t="s">
        <v>5</v>
      </c>
      <c r="I76" s="29"/>
      <c r="J76" s="29"/>
      <c r="K76" s="19" t="s">
        <v>11</v>
      </c>
      <c r="L76" s="19"/>
      <c r="M76" s="30" t="s">
        <v>341</v>
      </c>
      <c r="N76" s="30" t="s">
        <v>342</v>
      </c>
      <c r="O76" s="32"/>
      <c r="P76" s="32"/>
      <c r="Q76" s="32"/>
      <c r="R76" s="32"/>
      <c r="S76" s="32"/>
    </row>
    <row r="77" spans="1:19" ht="16.5" customHeight="1">
      <c r="A77" s="29" t="s">
        <v>343</v>
      </c>
      <c r="B77" s="29" t="s">
        <v>299</v>
      </c>
      <c r="C77" s="29" t="s">
        <v>317</v>
      </c>
      <c r="D77" s="29" t="s">
        <v>91</v>
      </c>
      <c r="E77" s="29" t="s">
        <v>344</v>
      </c>
      <c r="F77" s="29"/>
      <c r="G77" s="29" t="s">
        <v>7</v>
      </c>
      <c r="H77" s="2" t="s">
        <v>5</v>
      </c>
      <c r="I77" s="29"/>
      <c r="J77" s="29"/>
      <c r="K77" s="19" t="s">
        <v>11</v>
      </c>
      <c r="L77" s="19"/>
      <c r="M77" s="30" t="s">
        <v>345</v>
      </c>
      <c r="N77" s="31" t="s">
        <v>346</v>
      </c>
      <c r="O77" s="32"/>
      <c r="P77" s="32"/>
      <c r="Q77" s="32"/>
      <c r="R77" s="32"/>
      <c r="S77" s="32"/>
    </row>
    <row r="78" spans="1:19" ht="16.5" customHeight="1">
      <c r="A78" s="29" t="s">
        <v>347</v>
      </c>
      <c r="B78" s="29" t="s">
        <v>299</v>
      </c>
      <c r="C78" s="29" t="s">
        <v>317</v>
      </c>
      <c r="D78" s="29" t="s">
        <v>91</v>
      </c>
      <c r="E78" s="29" t="s">
        <v>348</v>
      </c>
      <c r="F78" s="29"/>
      <c r="G78" s="29" t="s">
        <v>4</v>
      </c>
      <c r="H78" s="2" t="s">
        <v>5</v>
      </c>
      <c r="I78" s="29"/>
      <c r="J78" s="29" t="s">
        <v>104</v>
      </c>
      <c r="K78" s="19" t="s">
        <v>11</v>
      </c>
      <c r="L78" s="19"/>
      <c r="M78" s="30" t="s">
        <v>349</v>
      </c>
      <c r="N78" s="31" t="s">
        <v>350</v>
      </c>
      <c r="O78" s="32"/>
      <c r="P78" s="32"/>
      <c r="Q78" s="32"/>
      <c r="R78" s="32"/>
      <c r="S78" s="32"/>
    </row>
    <row r="79" spans="1:19" ht="16.5" customHeight="1">
      <c r="A79" s="29" t="s">
        <v>351</v>
      </c>
      <c r="B79" s="29" t="s">
        <v>299</v>
      </c>
      <c r="C79" s="29" t="s">
        <v>352</v>
      </c>
      <c r="D79" s="29" t="s">
        <v>92</v>
      </c>
      <c r="E79" s="29" t="s">
        <v>353</v>
      </c>
      <c r="F79" s="29"/>
      <c r="G79" s="29" t="s">
        <v>7</v>
      </c>
      <c r="H79" s="2" t="s">
        <v>5</v>
      </c>
      <c r="I79" s="29"/>
      <c r="J79" s="29"/>
      <c r="K79" s="19" t="s">
        <v>11</v>
      </c>
      <c r="L79" s="19" t="s">
        <v>17</v>
      </c>
      <c r="M79" s="30"/>
      <c r="N79" s="31" t="s">
        <v>354</v>
      </c>
      <c r="O79" s="32"/>
      <c r="P79" s="32"/>
      <c r="Q79" s="32"/>
      <c r="R79" s="32"/>
      <c r="S79" s="32"/>
    </row>
    <row r="80" spans="1:19" ht="16.5" customHeight="1">
      <c r="A80" s="29" t="s">
        <v>355</v>
      </c>
      <c r="B80" s="29" t="s">
        <v>299</v>
      </c>
      <c r="C80" s="29" t="s">
        <v>352</v>
      </c>
      <c r="D80" s="29" t="s">
        <v>91</v>
      </c>
      <c r="E80" s="29" t="s">
        <v>356</v>
      </c>
      <c r="F80" s="29" t="s">
        <v>357</v>
      </c>
      <c r="G80" s="29" t="s">
        <v>7</v>
      </c>
      <c r="H80" s="2" t="s">
        <v>5</v>
      </c>
      <c r="I80" s="29"/>
      <c r="J80" s="29"/>
      <c r="K80" s="19" t="s">
        <v>11</v>
      </c>
      <c r="L80" s="19" t="s">
        <v>17</v>
      </c>
      <c r="M80" s="30"/>
      <c r="N80" s="31" t="s">
        <v>358</v>
      </c>
      <c r="O80" s="32"/>
      <c r="P80" s="32"/>
      <c r="Q80" s="32"/>
      <c r="R80" s="32"/>
      <c r="S80" s="32"/>
    </row>
    <row r="81" spans="1:19" ht="16.5" customHeight="1">
      <c r="A81" s="29" t="s">
        <v>359</v>
      </c>
      <c r="B81" s="29" t="s">
        <v>299</v>
      </c>
      <c r="C81" s="29" t="s">
        <v>352</v>
      </c>
      <c r="D81" s="29" t="s">
        <v>92</v>
      </c>
      <c r="E81" s="29" t="s">
        <v>360</v>
      </c>
      <c r="F81" s="29"/>
      <c r="G81" s="29" t="s">
        <v>7</v>
      </c>
      <c r="H81" s="2" t="s">
        <v>5</v>
      </c>
      <c r="I81" s="29"/>
      <c r="J81" s="29"/>
      <c r="K81" s="19" t="s">
        <v>11</v>
      </c>
      <c r="L81" s="19" t="s">
        <v>17</v>
      </c>
      <c r="M81" s="30" t="s">
        <v>361</v>
      </c>
      <c r="N81" s="30" t="s">
        <v>362</v>
      </c>
      <c r="O81" s="32"/>
      <c r="P81" s="32"/>
      <c r="Q81" s="32"/>
      <c r="R81" s="32"/>
      <c r="S81" s="32"/>
    </row>
    <row r="82" spans="1:19" ht="16.5" customHeight="1">
      <c r="A82" s="29" t="s">
        <v>363</v>
      </c>
      <c r="B82" s="29" t="s">
        <v>299</v>
      </c>
      <c r="C82" s="29" t="s">
        <v>352</v>
      </c>
      <c r="D82" s="29" t="s">
        <v>56</v>
      </c>
      <c r="E82" s="29" t="s">
        <v>364</v>
      </c>
      <c r="F82" s="29"/>
      <c r="G82" s="29" t="s">
        <v>4</v>
      </c>
      <c r="H82" s="2" t="s">
        <v>5</v>
      </c>
      <c r="I82" s="29"/>
      <c r="J82" s="29" t="s">
        <v>104</v>
      </c>
      <c r="K82" s="19" t="s">
        <v>11</v>
      </c>
      <c r="L82" s="19"/>
      <c r="M82" s="30" t="s">
        <v>365</v>
      </c>
      <c r="N82" s="30" t="s">
        <v>366</v>
      </c>
      <c r="O82" s="32"/>
      <c r="P82" s="32"/>
      <c r="Q82" s="32"/>
      <c r="R82" s="32"/>
      <c r="S82" s="32"/>
    </row>
    <row r="83" spans="1:19" ht="16.5" customHeight="1">
      <c r="A83" s="29" t="s">
        <v>367</v>
      </c>
      <c r="B83" s="29" t="s">
        <v>299</v>
      </c>
      <c r="C83" s="29" t="s">
        <v>352</v>
      </c>
      <c r="D83" s="29" t="s">
        <v>56</v>
      </c>
      <c r="E83" s="29" t="s">
        <v>368</v>
      </c>
      <c r="F83" s="29"/>
      <c r="G83" s="29" t="s">
        <v>4</v>
      </c>
      <c r="H83" s="2" t="s">
        <v>5</v>
      </c>
      <c r="I83" s="29"/>
      <c r="J83" s="29" t="s">
        <v>104</v>
      </c>
      <c r="K83" s="19" t="s">
        <v>11</v>
      </c>
      <c r="L83" s="19"/>
      <c r="M83" s="30" t="s">
        <v>369</v>
      </c>
      <c r="N83" s="30" t="s">
        <v>370</v>
      </c>
      <c r="O83" s="32"/>
      <c r="P83" s="32"/>
      <c r="Q83" s="32"/>
      <c r="R83" s="32"/>
      <c r="S83" s="32"/>
    </row>
    <row r="84" spans="1:19" ht="16.5" customHeight="1">
      <c r="A84" s="29" t="s">
        <v>371</v>
      </c>
      <c r="B84" s="29" t="s">
        <v>299</v>
      </c>
      <c r="C84" s="29" t="s">
        <v>352</v>
      </c>
      <c r="D84" s="29" t="s">
        <v>91</v>
      </c>
      <c r="E84" s="29" t="s">
        <v>372</v>
      </c>
      <c r="F84" s="29"/>
      <c r="G84" s="29" t="s">
        <v>7</v>
      </c>
      <c r="H84" s="2" t="s">
        <v>5</v>
      </c>
      <c r="I84" s="29"/>
      <c r="J84" s="29"/>
      <c r="K84" s="19" t="s">
        <v>11</v>
      </c>
      <c r="L84" s="19" t="s">
        <v>17</v>
      </c>
      <c r="M84" s="30" t="s">
        <v>373</v>
      </c>
      <c r="N84" s="31" t="s">
        <v>374</v>
      </c>
      <c r="O84" s="32"/>
      <c r="P84" s="32"/>
      <c r="Q84" s="32"/>
      <c r="R84" s="32"/>
      <c r="S84" s="32"/>
    </row>
    <row r="85" spans="1:19" ht="15.75" customHeight="1">
      <c r="A85" s="29" t="s">
        <v>375</v>
      </c>
      <c r="B85" s="29" t="s">
        <v>299</v>
      </c>
      <c r="C85" s="29" t="s">
        <v>352</v>
      </c>
      <c r="D85" s="29" t="s">
        <v>92</v>
      </c>
      <c r="E85" s="29" t="s">
        <v>376</v>
      </c>
      <c r="F85" s="29"/>
      <c r="G85" s="29" t="s">
        <v>7</v>
      </c>
      <c r="H85" s="2" t="s">
        <v>5</v>
      </c>
      <c r="I85" s="29"/>
      <c r="J85" s="29"/>
      <c r="K85" s="19" t="s">
        <v>11</v>
      </c>
      <c r="L85" s="19" t="s">
        <v>17</v>
      </c>
      <c r="M85" s="30"/>
      <c r="N85" s="31" t="s">
        <v>377</v>
      </c>
      <c r="O85" s="32"/>
      <c r="P85" s="32"/>
      <c r="Q85" s="32"/>
      <c r="R85" s="32"/>
      <c r="S85" s="32"/>
    </row>
    <row r="86" spans="1:19" ht="16.5" customHeight="1">
      <c r="A86" s="29" t="s">
        <v>378</v>
      </c>
      <c r="B86" s="29" t="s">
        <v>299</v>
      </c>
      <c r="C86" s="29" t="s">
        <v>352</v>
      </c>
      <c r="D86" s="29" t="s">
        <v>92</v>
      </c>
      <c r="E86" s="29" t="s">
        <v>379</v>
      </c>
      <c r="F86" s="29"/>
      <c r="G86" s="29" t="s">
        <v>7</v>
      </c>
      <c r="H86" s="2" t="s">
        <v>5</v>
      </c>
      <c r="I86" s="29"/>
      <c r="J86" s="29"/>
      <c r="K86" s="19" t="s">
        <v>11</v>
      </c>
      <c r="L86" s="19" t="s">
        <v>17</v>
      </c>
      <c r="M86" s="30"/>
      <c r="N86" s="30" t="s">
        <v>380</v>
      </c>
      <c r="O86" s="32"/>
      <c r="P86" s="32"/>
      <c r="Q86" s="32"/>
      <c r="R86" s="32"/>
      <c r="S86" s="32"/>
    </row>
    <row r="87" spans="1:19" ht="16.5" customHeight="1">
      <c r="A87" s="29" t="s">
        <v>381</v>
      </c>
      <c r="B87" s="29" t="s">
        <v>299</v>
      </c>
      <c r="C87" s="29" t="s">
        <v>352</v>
      </c>
      <c r="D87" s="29" t="s">
        <v>91</v>
      </c>
      <c r="E87" s="29" t="s">
        <v>382</v>
      </c>
      <c r="F87" s="29"/>
      <c r="G87" s="29" t="s">
        <v>7</v>
      </c>
      <c r="H87" s="2" t="s">
        <v>5</v>
      </c>
      <c r="I87" s="29"/>
      <c r="J87" s="29"/>
      <c r="K87" s="19" t="s">
        <v>11</v>
      </c>
      <c r="L87" s="19" t="s">
        <v>17</v>
      </c>
      <c r="M87" s="30" t="s">
        <v>383</v>
      </c>
      <c r="N87" s="30" t="s">
        <v>384</v>
      </c>
      <c r="O87" s="32"/>
      <c r="P87" s="32"/>
      <c r="Q87" s="32"/>
      <c r="R87" s="32"/>
      <c r="S87" s="32"/>
    </row>
    <row r="88" spans="1:19" ht="16.5" customHeight="1">
      <c r="A88" s="29" t="s">
        <v>385</v>
      </c>
      <c r="B88" s="29" t="s">
        <v>299</v>
      </c>
      <c r="C88" s="29" t="s">
        <v>352</v>
      </c>
      <c r="D88" s="29" t="s">
        <v>56</v>
      </c>
      <c r="E88" s="29" t="s">
        <v>386</v>
      </c>
      <c r="F88" s="29"/>
      <c r="G88" s="29" t="s">
        <v>4</v>
      </c>
      <c r="H88" s="2" t="s">
        <v>5</v>
      </c>
      <c r="I88" s="29"/>
      <c r="J88" s="29" t="s">
        <v>104</v>
      </c>
      <c r="K88" s="19" t="s">
        <v>11</v>
      </c>
      <c r="L88" s="19" t="s">
        <v>17</v>
      </c>
      <c r="M88" s="30"/>
      <c r="N88" s="30" t="s">
        <v>387</v>
      </c>
      <c r="O88" s="32"/>
      <c r="P88" s="32"/>
      <c r="Q88" s="32"/>
      <c r="R88" s="32"/>
      <c r="S88" s="32"/>
    </row>
    <row r="89" spans="1:19" ht="16.5" customHeight="1">
      <c r="A89" s="29" t="s">
        <v>388</v>
      </c>
      <c r="B89" s="29" t="s">
        <v>299</v>
      </c>
      <c r="C89" s="29" t="s">
        <v>352</v>
      </c>
      <c r="D89" s="29" t="s">
        <v>30</v>
      </c>
      <c r="E89" s="29" t="s">
        <v>389</v>
      </c>
      <c r="F89" s="29"/>
      <c r="G89" s="29" t="s">
        <v>7</v>
      </c>
      <c r="H89" s="2" t="s">
        <v>5</v>
      </c>
      <c r="I89" s="29"/>
      <c r="J89" s="29"/>
      <c r="K89" s="19" t="s">
        <v>11</v>
      </c>
      <c r="L89" s="19" t="s">
        <v>17</v>
      </c>
      <c r="M89" s="30"/>
      <c r="N89" s="30" t="s">
        <v>390</v>
      </c>
      <c r="O89" s="32"/>
      <c r="P89" s="32"/>
      <c r="Q89" s="32"/>
      <c r="R89" s="32"/>
      <c r="S89" s="32"/>
    </row>
    <row r="90" spans="1:19" ht="16.5" customHeight="1">
      <c r="A90" s="29" t="s">
        <v>391</v>
      </c>
      <c r="B90" s="29" t="s">
        <v>299</v>
      </c>
      <c r="C90" s="29" t="s">
        <v>352</v>
      </c>
      <c r="D90" s="29" t="s">
        <v>89</v>
      </c>
      <c r="E90" s="29" t="s">
        <v>392</v>
      </c>
      <c r="F90" s="29"/>
      <c r="G90" s="29" t="s">
        <v>7</v>
      </c>
      <c r="H90" s="2" t="s">
        <v>5</v>
      </c>
      <c r="I90" s="29"/>
      <c r="J90" s="29"/>
      <c r="K90" s="19" t="s">
        <v>11</v>
      </c>
      <c r="L90" s="19" t="s">
        <v>17</v>
      </c>
      <c r="M90" s="30"/>
      <c r="N90" s="30" t="s">
        <v>393</v>
      </c>
      <c r="O90" s="32"/>
      <c r="P90" s="32"/>
      <c r="Q90" s="32"/>
      <c r="R90" s="32"/>
      <c r="S90" s="32"/>
    </row>
    <row r="91" spans="1:19" ht="16.5" customHeight="1">
      <c r="A91" s="29" t="s">
        <v>394</v>
      </c>
      <c r="B91" s="29" t="s">
        <v>299</v>
      </c>
      <c r="C91" s="29" t="s">
        <v>352</v>
      </c>
      <c r="D91" s="29" t="s">
        <v>89</v>
      </c>
      <c r="E91" s="29" t="s">
        <v>395</v>
      </c>
      <c r="F91" s="29"/>
      <c r="G91" s="29" t="s">
        <v>7</v>
      </c>
      <c r="H91" s="2" t="s">
        <v>5</v>
      </c>
      <c r="I91" s="29"/>
      <c r="J91" s="29"/>
      <c r="K91" s="19" t="s">
        <v>11</v>
      </c>
      <c r="L91" s="19" t="s">
        <v>17</v>
      </c>
      <c r="M91" s="30"/>
      <c r="N91" s="30" t="s">
        <v>396</v>
      </c>
      <c r="O91" s="32"/>
      <c r="P91" s="32"/>
      <c r="Q91" s="32"/>
      <c r="R91" s="32"/>
      <c r="S91" s="32"/>
    </row>
    <row r="92" spans="1:19" ht="16.5" customHeight="1">
      <c r="A92" s="29" t="s">
        <v>397</v>
      </c>
      <c r="B92" s="29" t="s">
        <v>299</v>
      </c>
      <c r="C92" s="29" t="s">
        <v>352</v>
      </c>
      <c r="D92" s="29" t="s">
        <v>91</v>
      </c>
      <c r="E92" s="29" t="s">
        <v>398</v>
      </c>
      <c r="F92" s="29"/>
      <c r="G92" s="29" t="s">
        <v>7</v>
      </c>
      <c r="H92" s="2" t="s">
        <v>5</v>
      </c>
      <c r="I92" s="29"/>
      <c r="J92" s="29"/>
      <c r="K92" s="19" t="s">
        <v>11</v>
      </c>
      <c r="L92" s="19" t="s">
        <v>17</v>
      </c>
      <c r="M92" s="30"/>
      <c r="N92" s="30" t="s">
        <v>399</v>
      </c>
      <c r="O92" s="32"/>
      <c r="P92" s="32"/>
      <c r="Q92" s="32"/>
      <c r="R92" s="32"/>
      <c r="S92" s="32"/>
    </row>
    <row r="93" spans="1:19" ht="16.5" customHeight="1">
      <c r="A93" s="29" t="s">
        <v>400</v>
      </c>
      <c r="B93" s="29" t="s">
        <v>299</v>
      </c>
      <c r="C93" s="29" t="s">
        <v>352</v>
      </c>
      <c r="D93" s="29" t="s">
        <v>91</v>
      </c>
      <c r="E93" s="29" t="s">
        <v>401</v>
      </c>
      <c r="F93" s="29"/>
      <c r="G93" s="29" t="s">
        <v>4</v>
      </c>
      <c r="H93" s="2" t="s">
        <v>5</v>
      </c>
      <c r="I93" s="29"/>
      <c r="J93" s="29" t="s">
        <v>104</v>
      </c>
      <c r="K93" s="19" t="s">
        <v>11</v>
      </c>
      <c r="L93" s="19"/>
      <c r="M93" s="30"/>
      <c r="N93" s="30" t="s">
        <v>402</v>
      </c>
      <c r="O93" s="32"/>
      <c r="P93" s="32"/>
      <c r="Q93" s="32"/>
      <c r="R93" s="32"/>
      <c r="S93" s="32"/>
    </row>
    <row r="94" spans="1:19" ht="16.5" customHeight="1">
      <c r="A94" s="29" t="s">
        <v>403</v>
      </c>
      <c r="B94" s="29" t="s">
        <v>299</v>
      </c>
      <c r="C94" s="29" t="s">
        <v>404</v>
      </c>
      <c r="D94" s="29" t="s">
        <v>30</v>
      </c>
      <c r="E94" s="29" t="s">
        <v>405</v>
      </c>
      <c r="F94" s="29"/>
      <c r="G94" s="29" t="s">
        <v>4</v>
      </c>
      <c r="H94" s="2" t="s">
        <v>5</v>
      </c>
      <c r="I94" s="29"/>
      <c r="J94" s="29" t="s">
        <v>104</v>
      </c>
      <c r="K94" s="19" t="s">
        <v>11</v>
      </c>
      <c r="L94" s="19" t="s">
        <v>17</v>
      </c>
      <c r="M94" s="30"/>
      <c r="N94" s="30" t="s">
        <v>406</v>
      </c>
      <c r="O94" s="32"/>
      <c r="P94" s="32"/>
      <c r="Q94" s="32"/>
      <c r="R94" s="32"/>
      <c r="S94" s="32"/>
    </row>
    <row r="95" spans="1:19" ht="16.5" customHeight="1">
      <c r="A95" s="29" t="s">
        <v>407</v>
      </c>
      <c r="B95" s="29" t="s">
        <v>299</v>
      </c>
      <c r="C95" s="29" t="s">
        <v>404</v>
      </c>
      <c r="D95" s="29" t="s">
        <v>30</v>
      </c>
      <c r="E95" s="29" t="s">
        <v>408</v>
      </c>
      <c r="F95" s="29"/>
      <c r="G95" s="29" t="s">
        <v>6</v>
      </c>
      <c r="H95" s="2" t="s">
        <v>5</v>
      </c>
      <c r="I95" s="29"/>
      <c r="J95" s="29"/>
      <c r="K95" s="19" t="s">
        <v>11</v>
      </c>
      <c r="L95" s="19" t="s">
        <v>17</v>
      </c>
      <c r="M95" s="30" t="s">
        <v>409</v>
      </c>
      <c r="N95" s="30" t="s">
        <v>410</v>
      </c>
      <c r="O95" s="32"/>
      <c r="P95" s="32"/>
      <c r="Q95" s="32"/>
      <c r="R95" s="32"/>
      <c r="S95" s="32"/>
    </row>
    <row r="96" spans="1:19" ht="16.5" customHeight="1">
      <c r="A96" s="29" t="s">
        <v>411</v>
      </c>
      <c r="B96" s="29" t="s">
        <v>299</v>
      </c>
      <c r="C96" s="29" t="s">
        <v>404</v>
      </c>
      <c r="D96" s="29" t="s">
        <v>92</v>
      </c>
      <c r="E96" s="29" t="s">
        <v>412</v>
      </c>
      <c r="F96" s="29"/>
      <c r="G96" s="29" t="s">
        <v>4</v>
      </c>
      <c r="H96" s="2" t="s">
        <v>5</v>
      </c>
      <c r="I96" s="29"/>
      <c r="J96" s="29" t="s">
        <v>104</v>
      </c>
      <c r="K96" s="19" t="s">
        <v>11</v>
      </c>
      <c r="L96" s="19" t="s">
        <v>17</v>
      </c>
      <c r="M96" s="30" t="s">
        <v>413</v>
      </c>
      <c r="N96" s="30" t="s">
        <v>414</v>
      </c>
      <c r="O96" s="32"/>
      <c r="P96" s="32"/>
      <c r="Q96" s="32"/>
      <c r="R96" s="32"/>
      <c r="S96" s="32"/>
    </row>
    <row r="97" spans="1:19" ht="16.5" customHeight="1">
      <c r="A97" s="29" t="s">
        <v>415</v>
      </c>
      <c r="B97" s="29" t="s">
        <v>299</v>
      </c>
      <c r="C97" s="29" t="s">
        <v>404</v>
      </c>
      <c r="D97" s="29" t="s">
        <v>91</v>
      </c>
      <c r="E97" s="29" t="s">
        <v>416</v>
      </c>
      <c r="F97" s="29"/>
      <c r="G97" s="29" t="s">
        <v>4</v>
      </c>
      <c r="H97" s="2" t="s">
        <v>5</v>
      </c>
      <c r="I97" s="29"/>
      <c r="J97" s="29" t="s">
        <v>104</v>
      </c>
      <c r="K97" s="19" t="s">
        <v>11</v>
      </c>
      <c r="L97" s="19" t="s">
        <v>17</v>
      </c>
      <c r="M97" s="30"/>
      <c r="N97" s="30" t="s">
        <v>417</v>
      </c>
      <c r="O97" s="32"/>
      <c r="P97" s="32"/>
      <c r="Q97" s="32"/>
      <c r="R97" s="32"/>
      <c r="S97" s="32"/>
    </row>
    <row r="98" spans="1:19" ht="16.5" customHeight="1">
      <c r="A98" s="29" t="s">
        <v>418</v>
      </c>
      <c r="B98" s="29" t="s">
        <v>299</v>
      </c>
      <c r="C98" s="29" t="s">
        <v>404</v>
      </c>
      <c r="D98" s="29" t="s">
        <v>89</v>
      </c>
      <c r="E98" s="29" t="s">
        <v>419</v>
      </c>
      <c r="F98" s="29"/>
      <c r="G98" s="29" t="s">
        <v>7</v>
      </c>
      <c r="H98" s="2" t="s">
        <v>5</v>
      </c>
      <c r="I98" s="29"/>
      <c r="J98" s="29"/>
      <c r="K98" s="19" t="s">
        <v>11</v>
      </c>
      <c r="L98" s="19" t="s">
        <v>17</v>
      </c>
      <c r="M98" s="30"/>
      <c r="N98" s="31" t="s">
        <v>420</v>
      </c>
      <c r="O98" s="32"/>
      <c r="P98" s="32"/>
      <c r="Q98" s="32"/>
      <c r="R98" s="32"/>
      <c r="S98" s="32"/>
    </row>
    <row r="99" spans="1:19" ht="16.5" customHeight="1">
      <c r="A99" s="29" t="s">
        <v>421</v>
      </c>
      <c r="B99" s="29" t="s">
        <v>299</v>
      </c>
      <c r="C99" s="29" t="s">
        <v>404</v>
      </c>
      <c r="D99" s="29" t="s">
        <v>30</v>
      </c>
      <c r="E99" s="29" t="s">
        <v>422</v>
      </c>
      <c r="F99" s="29"/>
      <c r="G99" s="29" t="s">
        <v>7</v>
      </c>
      <c r="H99" s="2" t="s">
        <v>5</v>
      </c>
      <c r="I99" s="29"/>
      <c r="J99" s="29"/>
      <c r="K99" s="19" t="s">
        <v>11</v>
      </c>
      <c r="L99" s="19" t="s">
        <v>17</v>
      </c>
      <c r="M99" s="30"/>
      <c r="N99" s="30" t="s">
        <v>423</v>
      </c>
      <c r="O99" s="32"/>
      <c r="P99" s="32"/>
      <c r="Q99" s="32"/>
      <c r="R99" s="32"/>
      <c r="S99" s="32"/>
    </row>
    <row r="100" spans="1:19" ht="16.5" customHeight="1">
      <c r="A100" s="29" t="s">
        <v>424</v>
      </c>
      <c r="B100" s="29" t="s">
        <v>299</v>
      </c>
      <c r="C100" s="29" t="s">
        <v>404</v>
      </c>
      <c r="D100" s="29" t="s">
        <v>89</v>
      </c>
      <c r="E100" s="29" t="s">
        <v>425</v>
      </c>
      <c r="F100" s="29"/>
      <c r="G100" s="29" t="s">
        <v>6</v>
      </c>
      <c r="H100" s="2" t="s">
        <v>5</v>
      </c>
      <c r="I100" s="29"/>
      <c r="J100" s="29"/>
      <c r="K100" s="19" t="s">
        <v>11</v>
      </c>
      <c r="L100" s="19"/>
      <c r="M100" s="30"/>
      <c r="N100" s="30" t="s">
        <v>426</v>
      </c>
      <c r="O100" s="32"/>
      <c r="P100" s="32"/>
      <c r="Q100" s="32"/>
      <c r="R100" s="32"/>
      <c r="S100" s="32"/>
    </row>
    <row r="101" spans="1:19" ht="16.5" customHeight="1">
      <c r="A101" s="29" t="s">
        <v>427</v>
      </c>
      <c r="B101" s="29" t="s">
        <v>299</v>
      </c>
      <c r="C101" s="29" t="s">
        <v>404</v>
      </c>
      <c r="D101" s="29" t="s">
        <v>89</v>
      </c>
      <c r="E101" s="29" t="s">
        <v>428</v>
      </c>
      <c r="F101" s="29"/>
      <c r="G101" s="29" t="s">
        <v>4</v>
      </c>
      <c r="H101" s="2" t="s">
        <v>5</v>
      </c>
      <c r="I101" s="29"/>
      <c r="J101" s="29" t="s">
        <v>104</v>
      </c>
      <c r="K101" s="19" t="s">
        <v>11</v>
      </c>
      <c r="L101" s="19" t="s">
        <v>17</v>
      </c>
      <c r="M101" s="30"/>
      <c r="N101" s="30" t="s">
        <v>429</v>
      </c>
      <c r="O101" s="32"/>
      <c r="P101" s="32"/>
      <c r="Q101" s="32"/>
      <c r="R101" s="32"/>
      <c r="S101" s="32"/>
    </row>
    <row r="102" spans="1:19" ht="16.5" customHeight="1">
      <c r="A102" s="29" t="s">
        <v>430</v>
      </c>
      <c r="B102" s="29" t="s">
        <v>299</v>
      </c>
      <c r="C102" s="29" t="s">
        <v>431</v>
      </c>
      <c r="D102" s="29" t="s">
        <v>30</v>
      </c>
      <c r="E102" s="29" t="s">
        <v>432</v>
      </c>
      <c r="F102" s="29"/>
      <c r="G102" s="29" t="s">
        <v>7</v>
      </c>
      <c r="H102" s="2" t="s">
        <v>5</v>
      </c>
      <c r="I102" s="29"/>
      <c r="J102" s="29"/>
      <c r="K102" s="19" t="s">
        <v>11</v>
      </c>
      <c r="L102" s="19"/>
      <c r="M102" s="30"/>
      <c r="N102" s="30" t="s">
        <v>433</v>
      </c>
      <c r="O102" s="32"/>
      <c r="P102" s="32"/>
      <c r="Q102" s="32"/>
      <c r="R102" s="32"/>
      <c r="S102" s="32"/>
    </row>
    <row r="103" spans="1:19" ht="16.5" customHeight="1">
      <c r="A103" s="29" t="s">
        <v>434</v>
      </c>
      <c r="B103" s="29" t="s">
        <v>299</v>
      </c>
      <c r="C103" s="29" t="s">
        <v>431</v>
      </c>
      <c r="D103" s="29" t="s">
        <v>30</v>
      </c>
      <c r="E103" s="29" t="s">
        <v>435</v>
      </c>
      <c r="F103" s="29"/>
      <c r="G103" s="29" t="s">
        <v>7</v>
      </c>
      <c r="H103" s="2" t="s">
        <v>5</v>
      </c>
      <c r="I103" s="29"/>
      <c r="J103" s="29"/>
      <c r="K103" s="19" t="s">
        <v>11</v>
      </c>
      <c r="L103" s="19"/>
      <c r="M103" s="30" t="s">
        <v>436</v>
      </c>
      <c r="N103" s="30" t="s">
        <v>437</v>
      </c>
      <c r="O103" s="32"/>
      <c r="P103" s="32"/>
      <c r="Q103" s="32"/>
      <c r="R103" s="32"/>
      <c r="S103" s="32"/>
    </row>
    <row r="104" spans="1:19" ht="16.5" customHeight="1">
      <c r="A104" s="29" t="s">
        <v>438</v>
      </c>
      <c r="B104" s="29" t="s">
        <v>299</v>
      </c>
      <c r="C104" s="29" t="s">
        <v>431</v>
      </c>
      <c r="D104" s="29" t="s">
        <v>30</v>
      </c>
      <c r="E104" s="29" t="s">
        <v>439</v>
      </c>
      <c r="F104" s="29"/>
      <c r="G104" s="29" t="s">
        <v>4</v>
      </c>
      <c r="H104" s="2" t="s">
        <v>5</v>
      </c>
      <c r="I104" s="29"/>
      <c r="J104" s="29" t="s">
        <v>104</v>
      </c>
      <c r="K104" s="19" t="s">
        <v>11</v>
      </c>
      <c r="L104" s="19" t="s">
        <v>17</v>
      </c>
      <c r="M104" s="30"/>
      <c r="N104" s="30" t="s">
        <v>440</v>
      </c>
      <c r="O104" s="32"/>
      <c r="P104" s="32"/>
      <c r="Q104" s="32"/>
      <c r="R104" s="32"/>
      <c r="S104" s="32"/>
    </row>
    <row r="105" spans="1:19" ht="16.5" customHeight="1">
      <c r="A105" s="29" t="s">
        <v>441</v>
      </c>
      <c r="B105" s="29" t="s">
        <v>299</v>
      </c>
      <c r="C105" s="29" t="s">
        <v>431</v>
      </c>
      <c r="D105" s="29" t="s">
        <v>30</v>
      </c>
      <c r="E105" s="29" t="s">
        <v>442</v>
      </c>
      <c r="F105" s="29"/>
      <c r="G105" s="29" t="s">
        <v>7</v>
      </c>
      <c r="H105" s="2" t="s">
        <v>5</v>
      </c>
      <c r="I105" s="29"/>
      <c r="J105" s="29"/>
      <c r="K105" s="19" t="s">
        <v>11</v>
      </c>
      <c r="L105" s="19" t="s">
        <v>17</v>
      </c>
      <c r="M105" s="30"/>
      <c r="N105" s="30" t="s">
        <v>443</v>
      </c>
      <c r="O105" s="32"/>
      <c r="P105" s="32"/>
      <c r="Q105" s="32"/>
      <c r="R105" s="32"/>
      <c r="S105" s="32"/>
    </row>
    <row r="106" spans="1:19" ht="16.5" customHeight="1">
      <c r="A106" s="29" t="s">
        <v>444</v>
      </c>
      <c r="B106" s="29" t="s">
        <v>299</v>
      </c>
      <c r="C106" s="29" t="s">
        <v>431</v>
      </c>
      <c r="D106" s="29" t="s">
        <v>30</v>
      </c>
      <c r="E106" s="29" t="s">
        <v>445</v>
      </c>
      <c r="F106" s="29"/>
      <c r="G106" s="29" t="s">
        <v>6</v>
      </c>
      <c r="H106" s="2" t="s">
        <v>5</v>
      </c>
      <c r="I106" s="29"/>
      <c r="J106" s="29"/>
      <c r="K106" s="19" t="s">
        <v>11</v>
      </c>
      <c r="L106" s="19" t="s">
        <v>17</v>
      </c>
      <c r="M106" s="30"/>
      <c r="N106" s="30" t="s">
        <v>446</v>
      </c>
      <c r="O106" s="32"/>
      <c r="P106" s="32"/>
      <c r="Q106" s="32"/>
      <c r="R106" s="32"/>
      <c r="S106" s="32"/>
    </row>
    <row r="107" spans="1:19" ht="16.5" customHeight="1">
      <c r="A107" s="29" t="s">
        <v>447</v>
      </c>
      <c r="B107" s="29" t="s">
        <v>299</v>
      </c>
      <c r="C107" s="29" t="s">
        <v>431</v>
      </c>
      <c r="D107" s="29" t="s">
        <v>30</v>
      </c>
      <c r="E107" s="29" t="s">
        <v>448</v>
      </c>
      <c r="F107" s="29"/>
      <c r="G107" s="29" t="s">
        <v>7</v>
      </c>
      <c r="H107" s="2" t="s">
        <v>5</v>
      </c>
      <c r="I107" s="29"/>
      <c r="J107" s="29"/>
      <c r="K107" s="19" t="s">
        <v>11</v>
      </c>
      <c r="L107" s="19" t="s">
        <v>17</v>
      </c>
      <c r="M107" s="30"/>
      <c r="N107" s="30" t="s">
        <v>449</v>
      </c>
      <c r="O107" s="32"/>
      <c r="P107" s="32"/>
      <c r="Q107" s="32"/>
      <c r="R107" s="32"/>
      <c r="S107" s="32"/>
    </row>
    <row r="108" spans="1:19" ht="16.5" customHeight="1">
      <c r="A108" s="29" t="s">
        <v>450</v>
      </c>
      <c r="B108" s="29" t="s">
        <v>299</v>
      </c>
      <c r="C108" s="29" t="s">
        <v>431</v>
      </c>
      <c r="D108" s="29" t="s">
        <v>30</v>
      </c>
      <c r="E108" s="29" t="s">
        <v>451</v>
      </c>
      <c r="F108" s="29"/>
      <c r="G108" s="29" t="s">
        <v>6</v>
      </c>
      <c r="H108" s="2" t="s">
        <v>5</v>
      </c>
      <c r="I108" s="29"/>
      <c r="J108" s="29"/>
      <c r="K108" s="19" t="s">
        <v>11</v>
      </c>
      <c r="L108" s="19" t="s">
        <v>17</v>
      </c>
      <c r="M108" s="30"/>
      <c r="N108" s="30" t="s">
        <v>452</v>
      </c>
      <c r="O108" s="32"/>
      <c r="P108" s="32"/>
      <c r="Q108" s="32"/>
      <c r="R108" s="32"/>
      <c r="S108" s="32"/>
    </row>
    <row r="109" spans="1:19" ht="16.5" customHeight="1">
      <c r="A109" s="29" t="s">
        <v>453</v>
      </c>
      <c r="B109" s="29" t="s">
        <v>299</v>
      </c>
      <c r="C109" s="29" t="s">
        <v>431</v>
      </c>
      <c r="D109" s="29" t="s">
        <v>30</v>
      </c>
      <c r="E109" s="29" t="s">
        <v>454</v>
      </c>
      <c r="F109" s="29"/>
      <c r="G109" s="29" t="s">
        <v>4</v>
      </c>
      <c r="H109" s="2" t="s">
        <v>5</v>
      </c>
      <c r="I109" s="29"/>
      <c r="J109" s="29" t="s">
        <v>104</v>
      </c>
      <c r="K109" s="19" t="s">
        <v>11</v>
      </c>
      <c r="L109" s="19" t="s">
        <v>17</v>
      </c>
      <c r="M109" s="30"/>
      <c r="N109" s="30" t="s">
        <v>455</v>
      </c>
      <c r="O109" s="32"/>
      <c r="P109" s="32"/>
      <c r="Q109" s="32"/>
      <c r="R109" s="32"/>
      <c r="S109" s="32"/>
    </row>
    <row r="110" spans="1:19" ht="16.5" customHeight="1">
      <c r="A110" s="29" t="s">
        <v>456</v>
      </c>
      <c r="B110" s="29" t="s">
        <v>299</v>
      </c>
      <c r="C110" s="29" t="s">
        <v>431</v>
      </c>
      <c r="D110" s="29" t="s">
        <v>30</v>
      </c>
      <c r="E110" s="29" t="s">
        <v>457</v>
      </c>
      <c r="F110" s="29"/>
      <c r="G110" s="29" t="s">
        <v>4</v>
      </c>
      <c r="H110" s="2" t="s">
        <v>5</v>
      </c>
      <c r="I110" s="29"/>
      <c r="J110" s="29" t="s">
        <v>104</v>
      </c>
      <c r="K110" s="19" t="s">
        <v>11</v>
      </c>
      <c r="L110" s="19" t="s">
        <v>17</v>
      </c>
      <c r="M110" s="30"/>
      <c r="N110" s="30" t="s">
        <v>458</v>
      </c>
      <c r="O110" s="32"/>
      <c r="P110" s="32"/>
      <c r="Q110" s="32"/>
      <c r="R110" s="32"/>
      <c r="S110" s="32"/>
    </row>
    <row r="111" spans="1:19" ht="16.5" customHeight="1">
      <c r="A111" s="29" t="s">
        <v>459</v>
      </c>
      <c r="B111" s="29" t="s">
        <v>299</v>
      </c>
      <c r="C111" s="29" t="s">
        <v>431</v>
      </c>
      <c r="D111" s="29" t="s">
        <v>30</v>
      </c>
      <c r="E111" s="29" t="s">
        <v>460</v>
      </c>
      <c r="F111" s="29"/>
      <c r="G111" s="29" t="s">
        <v>4</v>
      </c>
      <c r="H111" s="2" t="s">
        <v>5</v>
      </c>
      <c r="I111" s="29"/>
      <c r="J111" s="29" t="s">
        <v>104</v>
      </c>
      <c r="K111" s="19" t="s">
        <v>11</v>
      </c>
      <c r="L111" s="19"/>
      <c r="M111" s="30" t="s">
        <v>461</v>
      </c>
      <c r="N111" s="30" t="s">
        <v>462</v>
      </c>
      <c r="O111" s="32"/>
      <c r="P111" s="32"/>
      <c r="Q111" s="32"/>
      <c r="R111" s="32"/>
      <c r="S111" s="32"/>
    </row>
    <row r="112" spans="1:19" ht="16.5" customHeight="1">
      <c r="A112" s="29" t="s">
        <v>463</v>
      </c>
      <c r="B112" s="29" t="s">
        <v>299</v>
      </c>
      <c r="C112" s="29" t="s">
        <v>431</v>
      </c>
      <c r="D112" s="29" t="s">
        <v>30</v>
      </c>
      <c r="E112" s="29" t="s">
        <v>464</v>
      </c>
      <c r="F112" s="29"/>
      <c r="G112" s="29" t="s">
        <v>4</v>
      </c>
      <c r="H112" s="2" t="s">
        <v>5</v>
      </c>
      <c r="I112" s="29"/>
      <c r="J112" s="29" t="s">
        <v>104</v>
      </c>
      <c r="K112" s="19" t="s">
        <v>11</v>
      </c>
      <c r="L112" s="19"/>
      <c r="M112" s="30" t="s">
        <v>465</v>
      </c>
      <c r="N112" s="30" t="s">
        <v>466</v>
      </c>
      <c r="O112" s="32"/>
      <c r="P112" s="32"/>
      <c r="Q112" s="32"/>
      <c r="R112" s="32"/>
      <c r="S112" s="32"/>
    </row>
    <row r="113" spans="1:19" ht="16.5" customHeight="1">
      <c r="A113" s="29" t="s">
        <v>467</v>
      </c>
      <c r="B113" s="29" t="s">
        <v>299</v>
      </c>
      <c r="C113" s="29" t="s">
        <v>431</v>
      </c>
      <c r="D113" s="29" t="s">
        <v>30</v>
      </c>
      <c r="E113" s="29" t="s">
        <v>468</v>
      </c>
      <c r="F113" s="29"/>
      <c r="G113" s="29" t="s">
        <v>4</v>
      </c>
      <c r="H113" s="2" t="s">
        <v>5</v>
      </c>
      <c r="I113" s="29"/>
      <c r="J113" s="29" t="s">
        <v>104</v>
      </c>
      <c r="K113" s="19" t="s">
        <v>11</v>
      </c>
      <c r="L113" s="19"/>
      <c r="M113" s="30" t="s">
        <v>469</v>
      </c>
      <c r="N113" s="30" t="s">
        <v>470</v>
      </c>
      <c r="O113" s="32"/>
      <c r="P113" s="32"/>
      <c r="Q113" s="32"/>
      <c r="R113" s="32"/>
      <c r="S113" s="32"/>
    </row>
    <row r="114" spans="1:19" ht="16.5" customHeight="1">
      <c r="A114" s="29" t="s">
        <v>471</v>
      </c>
      <c r="B114" s="29" t="s">
        <v>299</v>
      </c>
      <c r="C114" s="29" t="s">
        <v>431</v>
      </c>
      <c r="D114" s="29" t="s">
        <v>30</v>
      </c>
      <c r="E114" s="29" t="s">
        <v>472</v>
      </c>
      <c r="F114" s="29"/>
      <c r="G114" s="29" t="s">
        <v>4</v>
      </c>
      <c r="H114" s="2" t="s">
        <v>5</v>
      </c>
      <c r="I114" s="29"/>
      <c r="J114" s="29" t="s">
        <v>104</v>
      </c>
      <c r="K114" s="19" t="s">
        <v>11</v>
      </c>
      <c r="L114" s="19"/>
      <c r="M114" s="30" t="s">
        <v>473</v>
      </c>
      <c r="N114" s="31" t="s">
        <v>474</v>
      </c>
      <c r="O114" s="32"/>
      <c r="P114" s="32"/>
      <c r="Q114" s="32"/>
      <c r="R114" s="32"/>
      <c r="S114" s="32"/>
    </row>
    <row r="115" spans="1:19" ht="16.5" customHeight="1">
      <c r="A115" s="29" t="s">
        <v>475</v>
      </c>
      <c r="B115" s="29" t="s">
        <v>299</v>
      </c>
      <c r="C115" s="29" t="s">
        <v>431</v>
      </c>
      <c r="D115" s="29" t="s">
        <v>30</v>
      </c>
      <c r="E115" s="29" t="s">
        <v>476</v>
      </c>
      <c r="F115" s="29"/>
      <c r="G115" s="29" t="s">
        <v>4</v>
      </c>
      <c r="H115" s="2" t="s">
        <v>5</v>
      </c>
      <c r="I115" s="29"/>
      <c r="J115" s="29" t="s">
        <v>104</v>
      </c>
      <c r="K115" s="19" t="s">
        <v>11</v>
      </c>
      <c r="L115" s="19"/>
      <c r="M115" s="30" t="s">
        <v>477</v>
      </c>
      <c r="N115" s="31" t="s">
        <v>478</v>
      </c>
      <c r="O115" s="32"/>
      <c r="P115" s="32"/>
      <c r="Q115" s="32"/>
      <c r="R115" s="32"/>
      <c r="S115" s="32"/>
    </row>
    <row r="116" spans="1:19" ht="16.5" customHeight="1">
      <c r="A116" s="29" t="s">
        <v>479</v>
      </c>
      <c r="B116" s="29" t="s">
        <v>299</v>
      </c>
      <c r="C116" s="29" t="s">
        <v>431</v>
      </c>
      <c r="D116" s="29" t="s">
        <v>91</v>
      </c>
      <c r="E116" s="29" t="s">
        <v>480</v>
      </c>
      <c r="F116" s="29"/>
      <c r="G116" s="29" t="s">
        <v>4</v>
      </c>
      <c r="H116" s="2" t="s">
        <v>5</v>
      </c>
      <c r="I116" s="29"/>
      <c r="J116" s="29" t="s">
        <v>104</v>
      </c>
      <c r="K116" s="19" t="s">
        <v>11</v>
      </c>
      <c r="L116" s="19"/>
      <c r="M116" s="30"/>
      <c r="N116" s="31" t="s">
        <v>481</v>
      </c>
      <c r="O116" s="32"/>
      <c r="P116" s="32"/>
      <c r="Q116" s="32"/>
      <c r="R116" s="32"/>
      <c r="S116" s="32"/>
    </row>
    <row r="117" spans="1:19" ht="16.5" customHeight="1">
      <c r="A117" s="29" t="s">
        <v>482</v>
      </c>
      <c r="B117" s="29" t="s">
        <v>299</v>
      </c>
      <c r="C117" s="29" t="s">
        <v>483</v>
      </c>
      <c r="D117" s="29" t="s">
        <v>30</v>
      </c>
      <c r="E117" s="29" t="s">
        <v>484</v>
      </c>
      <c r="F117" s="29"/>
      <c r="G117" s="29" t="s">
        <v>4</v>
      </c>
      <c r="H117" s="2" t="s">
        <v>5</v>
      </c>
      <c r="I117" s="29"/>
      <c r="J117" s="29" t="s">
        <v>104</v>
      </c>
      <c r="K117" s="19" t="s">
        <v>11</v>
      </c>
      <c r="L117" s="19" t="s">
        <v>17</v>
      </c>
      <c r="M117" s="30"/>
      <c r="N117" s="30" t="s">
        <v>485</v>
      </c>
      <c r="O117" s="32"/>
      <c r="P117" s="32"/>
      <c r="Q117" s="32"/>
      <c r="R117" s="32"/>
      <c r="S117" s="32"/>
    </row>
    <row r="118" spans="1:19" ht="16.5" customHeight="1">
      <c r="A118" s="29" t="s">
        <v>486</v>
      </c>
      <c r="B118" s="29" t="s">
        <v>299</v>
      </c>
      <c r="C118" s="29" t="s">
        <v>483</v>
      </c>
      <c r="D118" s="29" t="s">
        <v>30</v>
      </c>
      <c r="E118" s="29" t="s">
        <v>487</v>
      </c>
      <c r="F118" s="29"/>
      <c r="G118" s="29" t="s">
        <v>7</v>
      </c>
      <c r="H118" s="2" t="s">
        <v>5</v>
      </c>
      <c r="I118" s="29"/>
      <c r="J118" s="29"/>
      <c r="K118" s="19" t="s">
        <v>11</v>
      </c>
      <c r="L118" s="19" t="s">
        <v>17</v>
      </c>
      <c r="M118" s="30"/>
      <c r="N118" s="31" t="s">
        <v>488</v>
      </c>
      <c r="O118" s="32"/>
      <c r="P118" s="32"/>
      <c r="Q118" s="32"/>
      <c r="R118" s="32"/>
      <c r="S118" s="32"/>
    </row>
    <row r="119" spans="1:19" ht="16.5" customHeight="1">
      <c r="A119" s="29" t="s">
        <v>489</v>
      </c>
      <c r="B119" s="29" t="s">
        <v>299</v>
      </c>
      <c r="C119" s="29" t="s">
        <v>483</v>
      </c>
      <c r="D119" s="29" t="s">
        <v>30</v>
      </c>
      <c r="E119" s="29" t="s">
        <v>490</v>
      </c>
      <c r="F119" s="29"/>
      <c r="G119" s="29" t="s">
        <v>7</v>
      </c>
      <c r="H119" s="2" t="s">
        <v>5</v>
      </c>
      <c r="I119" s="29"/>
      <c r="J119" s="29"/>
      <c r="K119" s="19" t="s">
        <v>11</v>
      </c>
      <c r="L119" s="19" t="s">
        <v>17</v>
      </c>
      <c r="M119" s="30"/>
      <c r="N119" s="30" t="s">
        <v>491</v>
      </c>
      <c r="O119" s="32"/>
      <c r="P119" s="32"/>
      <c r="Q119" s="32"/>
      <c r="R119" s="32"/>
      <c r="S119" s="32"/>
    </row>
    <row r="120" spans="1:19" ht="16.5" customHeight="1">
      <c r="A120" s="29" t="s">
        <v>492</v>
      </c>
      <c r="B120" s="29" t="s">
        <v>299</v>
      </c>
      <c r="C120" s="29" t="s">
        <v>483</v>
      </c>
      <c r="D120" s="29" t="s">
        <v>30</v>
      </c>
      <c r="E120" s="29" t="s">
        <v>493</v>
      </c>
      <c r="F120" s="29"/>
      <c r="G120" s="29" t="s">
        <v>7</v>
      </c>
      <c r="H120" s="2" t="s">
        <v>5</v>
      </c>
      <c r="I120" s="29"/>
      <c r="J120" s="29"/>
      <c r="K120" s="19" t="s">
        <v>11</v>
      </c>
      <c r="L120" s="19" t="s">
        <v>17</v>
      </c>
      <c r="M120" s="30" t="s">
        <v>494</v>
      </c>
      <c r="N120" s="30" t="s">
        <v>495</v>
      </c>
      <c r="O120" s="32"/>
      <c r="P120" s="32"/>
      <c r="Q120" s="32"/>
      <c r="R120" s="32"/>
      <c r="S120" s="32"/>
    </row>
    <row r="121" spans="1:19" ht="16.5" customHeight="1">
      <c r="A121" s="29" t="s">
        <v>496</v>
      </c>
      <c r="B121" s="29" t="s">
        <v>299</v>
      </c>
      <c r="C121" s="29" t="s">
        <v>483</v>
      </c>
      <c r="D121" s="29" t="s">
        <v>30</v>
      </c>
      <c r="E121" s="29" t="s">
        <v>497</v>
      </c>
      <c r="F121" s="29"/>
      <c r="G121" s="29" t="s">
        <v>7</v>
      </c>
      <c r="H121" s="2" t="s">
        <v>5</v>
      </c>
      <c r="I121" s="29"/>
      <c r="J121" s="29"/>
      <c r="K121" s="19" t="s">
        <v>11</v>
      </c>
      <c r="L121" s="19" t="s">
        <v>17</v>
      </c>
      <c r="M121" s="30"/>
      <c r="N121" s="30" t="s">
        <v>498</v>
      </c>
      <c r="O121" s="32"/>
      <c r="P121" s="32"/>
      <c r="Q121" s="32"/>
      <c r="R121" s="32"/>
      <c r="S121" s="32"/>
    </row>
    <row r="122" spans="1:19" ht="16.5" customHeight="1">
      <c r="A122" s="29" t="s">
        <v>499</v>
      </c>
      <c r="B122" s="29" t="s">
        <v>299</v>
      </c>
      <c r="C122" s="29" t="s">
        <v>500</v>
      </c>
      <c r="D122" s="29" t="s">
        <v>30</v>
      </c>
      <c r="E122" s="29" t="s">
        <v>501</v>
      </c>
      <c r="F122" s="29"/>
      <c r="G122" s="29" t="s">
        <v>4</v>
      </c>
      <c r="H122" s="2" t="s">
        <v>5</v>
      </c>
      <c r="I122" s="29"/>
      <c r="J122" s="29" t="s">
        <v>104</v>
      </c>
      <c r="K122" s="19" t="s">
        <v>11</v>
      </c>
      <c r="L122" s="19"/>
      <c r="M122" s="30" t="s">
        <v>502</v>
      </c>
      <c r="N122" s="30" t="s">
        <v>503</v>
      </c>
      <c r="O122" s="32"/>
      <c r="P122" s="32"/>
      <c r="Q122" s="32"/>
      <c r="R122" s="32"/>
      <c r="S122" s="32"/>
    </row>
    <row r="123" spans="1:19" ht="16.5" customHeight="1">
      <c r="A123" s="29" t="s">
        <v>504</v>
      </c>
      <c r="B123" s="29" t="s">
        <v>299</v>
      </c>
      <c r="C123" s="29" t="s">
        <v>500</v>
      </c>
      <c r="D123" s="29" t="s">
        <v>30</v>
      </c>
      <c r="E123" s="29" t="s">
        <v>505</v>
      </c>
      <c r="F123" s="29"/>
      <c r="G123" s="29" t="s">
        <v>4</v>
      </c>
      <c r="H123" s="2" t="s">
        <v>5</v>
      </c>
      <c r="I123" s="29"/>
      <c r="J123" s="29" t="s">
        <v>104</v>
      </c>
      <c r="K123" s="19" t="s">
        <v>11</v>
      </c>
      <c r="L123" s="19"/>
      <c r="M123" s="30" t="s">
        <v>506</v>
      </c>
      <c r="N123" s="30" t="s">
        <v>507</v>
      </c>
      <c r="O123" s="32"/>
      <c r="P123" s="32"/>
      <c r="Q123" s="32"/>
      <c r="R123" s="32"/>
      <c r="S123" s="32"/>
    </row>
    <row r="124" spans="1:19" ht="16.5" customHeight="1">
      <c r="A124" s="29" t="s">
        <v>508</v>
      </c>
      <c r="B124" s="29" t="s">
        <v>299</v>
      </c>
      <c r="C124" s="29" t="s">
        <v>500</v>
      </c>
      <c r="D124" s="29" t="s">
        <v>30</v>
      </c>
      <c r="E124" s="29" t="s">
        <v>509</v>
      </c>
      <c r="F124" s="29"/>
      <c r="G124" s="29" t="s">
        <v>7</v>
      </c>
      <c r="H124" s="2" t="s">
        <v>5</v>
      </c>
      <c r="I124" s="29"/>
      <c r="J124" s="29"/>
      <c r="K124" s="19" t="s">
        <v>11</v>
      </c>
      <c r="L124" s="19"/>
      <c r="M124" s="30" t="s">
        <v>510</v>
      </c>
      <c r="N124" s="30" t="s">
        <v>511</v>
      </c>
      <c r="O124" s="32"/>
      <c r="P124" s="32"/>
      <c r="Q124" s="32"/>
      <c r="R124" s="32"/>
      <c r="S124" s="32"/>
    </row>
    <row r="125" spans="1:19" ht="16.5" customHeight="1">
      <c r="A125" s="29" t="s">
        <v>512</v>
      </c>
      <c r="B125" s="29" t="s">
        <v>299</v>
      </c>
      <c r="C125" s="29" t="s">
        <v>500</v>
      </c>
      <c r="D125" s="29" t="s">
        <v>30</v>
      </c>
      <c r="E125" s="29" t="s">
        <v>513</v>
      </c>
      <c r="F125" s="29"/>
      <c r="G125" s="29" t="s">
        <v>7</v>
      </c>
      <c r="H125" s="2" t="s">
        <v>5</v>
      </c>
      <c r="I125" s="29"/>
      <c r="J125" s="29"/>
      <c r="K125" s="19" t="s">
        <v>11</v>
      </c>
      <c r="L125" s="19" t="s">
        <v>17</v>
      </c>
      <c r="M125" s="30"/>
      <c r="N125" s="30" t="s">
        <v>514</v>
      </c>
      <c r="O125" s="32"/>
      <c r="P125" s="32"/>
      <c r="Q125" s="32"/>
      <c r="R125" s="32"/>
      <c r="S125" s="32"/>
    </row>
    <row r="126" spans="1:19" ht="16.5" customHeight="1">
      <c r="A126" s="29" t="s">
        <v>515</v>
      </c>
      <c r="B126" s="29" t="s">
        <v>299</v>
      </c>
      <c r="C126" s="29" t="s">
        <v>500</v>
      </c>
      <c r="D126" s="29" t="s">
        <v>30</v>
      </c>
      <c r="E126" s="29" t="s">
        <v>516</v>
      </c>
      <c r="F126" s="29"/>
      <c r="G126" s="29" t="s">
        <v>7</v>
      </c>
      <c r="H126" s="2" t="s">
        <v>5</v>
      </c>
      <c r="I126" s="29"/>
      <c r="J126" s="29"/>
      <c r="K126" s="19" t="s">
        <v>11</v>
      </c>
      <c r="L126" s="19" t="s">
        <v>17</v>
      </c>
      <c r="M126" s="30"/>
      <c r="N126" s="30" t="s">
        <v>517</v>
      </c>
      <c r="O126" s="32"/>
      <c r="P126" s="32"/>
      <c r="Q126" s="32"/>
      <c r="R126" s="32"/>
      <c r="S126" s="32"/>
    </row>
    <row r="127" spans="1:19" ht="16.5" customHeight="1">
      <c r="A127" s="29" t="s">
        <v>518</v>
      </c>
      <c r="B127" s="29" t="s">
        <v>299</v>
      </c>
      <c r="C127" s="29" t="s">
        <v>500</v>
      </c>
      <c r="D127" s="29" t="s">
        <v>30</v>
      </c>
      <c r="E127" s="29" t="s">
        <v>519</v>
      </c>
      <c r="F127" s="29"/>
      <c r="G127" s="29" t="s">
        <v>7</v>
      </c>
      <c r="H127" s="2" t="s">
        <v>5</v>
      </c>
      <c r="I127" s="29"/>
      <c r="J127" s="29"/>
      <c r="K127" s="19"/>
      <c r="L127" s="19" t="s">
        <v>17</v>
      </c>
      <c r="M127" s="30" t="s">
        <v>520</v>
      </c>
      <c r="N127" s="30" t="s">
        <v>521</v>
      </c>
      <c r="O127" s="32"/>
      <c r="P127" s="32"/>
      <c r="Q127" s="32"/>
      <c r="R127" s="32"/>
      <c r="S127" s="32"/>
    </row>
    <row r="128" spans="1:19" ht="16.5" customHeight="1">
      <c r="A128" s="29" t="s">
        <v>522</v>
      </c>
      <c r="B128" s="29" t="s">
        <v>299</v>
      </c>
      <c r="C128" s="29" t="s">
        <v>500</v>
      </c>
      <c r="D128" s="29" t="s">
        <v>30</v>
      </c>
      <c r="E128" s="29" t="s">
        <v>523</v>
      </c>
      <c r="F128" s="29"/>
      <c r="G128" s="29" t="s">
        <v>7</v>
      </c>
      <c r="H128" s="2" t="s">
        <v>5</v>
      </c>
      <c r="I128" s="29"/>
      <c r="J128" s="29"/>
      <c r="K128" s="19" t="s">
        <v>11</v>
      </c>
      <c r="L128" s="19" t="s">
        <v>17</v>
      </c>
      <c r="M128" s="30"/>
      <c r="N128" s="30" t="s">
        <v>524</v>
      </c>
      <c r="O128" s="32"/>
      <c r="P128" s="32"/>
      <c r="Q128" s="32"/>
      <c r="R128" s="32"/>
      <c r="S128" s="32"/>
    </row>
    <row r="129" spans="1:19" ht="16.5" customHeight="1">
      <c r="A129" s="29" t="s">
        <v>525</v>
      </c>
      <c r="B129" s="29" t="s">
        <v>299</v>
      </c>
      <c r="C129" s="29" t="s">
        <v>500</v>
      </c>
      <c r="D129" s="29" t="s">
        <v>30</v>
      </c>
      <c r="E129" s="29" t="s">
        <v>526</v>
      </c>
      <c r="F129" s="29"/>
      <c r="G129" s="29" t="s">
        <v>7</v>
      </c>
      <c r="H129" s="2" t="s">
        <v>5</v>
      </c>
      <c r="I129" s="29"/>
      <c r="J129" s="29"/>
      <c r="K129" s="19" t="s">
        <v>11</v>
      </c>
      <c r="L129" s="19" t="s">
        <v>17</v>
      </c>
      <c r="M129" s="30"/>
      <c r="N129" s="30" t="s">
        <v>527</v>
      </c>
      <c r="O129" s="32"/>
      <c r="P129" s="32"/>
      <c r="Q129" s="32"/>
      <c r="R129" s="32"/>
      <c r="S129" s="32"/>
    </row>
    <row r="130" spans="1:19" ht="16.5" customHeight="1">
      <c r="A130" s="29" t="s">
        <v>528</v>
      </c>
      <c r="B130" s="29" t="s">
        <v>299</v>
      </c>
      <c r="C130" s="29" t="s">
        <v>529</v>
      </c>
      <c r="D130" s="29" t="s">
        <v>89</v>
      </c>
      <c r="E130" s="29" t="s">
        <v>530</v>
      </c>
      <c r="F130" s="29"/>
      <c r="G130" s="29" t="s">
        <v>7</v>
      </c>
      <c r="H130" s="2" t="s">
        <v>5</v>
      </c>
      <c r="I130" s="29"/>
      <c r="J130" s="29"/>
      <c r="K130" s="19" t="s">
        <v>11</v>
      </c>
      <c r="L130" s="19" t="s">
        <v>17</v>
      </c>
      <c r="M130" s="30"/>
      <c r="N130" s="30" t="s">
        <v>531</v>
      </c>
      <c r="O130" s="32"/>
      <c r="P130" s="32"/>
      <c r="Q130" s="32"/>
      <c r="R130" s="32"/>
      <c r="S130" s="32"/>
    </row>
    <row r="131" spans="1:19" ht="16.5" customHeight="1">
      <c r="A131" s="29" t="s">
        <v>532</v>
      </c>
      <c r="B131" s="29" t="s">
        <v>299</v>
      </c>
      <c r="C131" s="29" t="s">
        <v>529</v>
      </c>
      <c r="D131" s="29" t="s">
        <v>92</v>
      </c>
      <c r="E131" s="29" t="s">
        <v>533</v>
      </c>
      <c r="F131" s="29"/>
      <c r="G131" s="29" t="s">
        <v>7</v>
      </c>
      <c r="H131" s="2" t="s">
        <v>5</v>
      </c>
      <c r="I131" s="29"/>
      <c r="J131" s="29"/>
      <c r="K131" s="19" t="s">
        <v>11</v>
      </c>
      <c r="L131" s="19"/>
      <c r="M131" s="30"/>
      <c r="N131" s="30" t="s">
        <v>534</v>
      </c>
      <c r="O131" s="32"/>
      <c r="P131" s="32"/>
      <c r="Q131" s="32"/>
      <c r="R131" s="32"/>
      <c r="S131" s="32"/>
    </row>
    <row r="132" spans="1:19" ht="16.5" customHeight="1">
      <c r="A132" s="29" t="s">
        <v>535</v>
      </c>
      <c r="B132" s="29" t="s">
        <v>299</v>
      </c>
      <c r="C132" s="29" t="s">
        <v>529</v>
      </c>
      <c r="D132" s="29" t="s">
        <v>92</v>
      </c>
      <c r="E132" s="29" t="s">
        <v>536</v>
      </c>
      <c r="F132" s="29"/>
      <c r="G132" s="29" t="s">
        <v>6</v>
      </c>
      <c r="H132" s="2" t="s">
        <v>5</v>
      </c>
      <c r="I132" s="29"/>
      <c r="J132" s="29"/>
      <c r="K132" s="19" t="s">
        <v>11</v>
      </c>
      <c r="L132" s="19"/>
      <c r="M132" s="30"/>
      <c r="N132" s="30" t="s">
        <v>537</v>
      </c>
      <c r="O132" s="32"/>
      <c r="P132" s="32"/>
      <c r="Q132" s="32"/>
      <c r="R132" s="32"/>
      <c r="S132" s="32"/>
    </row>
    <row r="133" spans="1:19" ht="16.5" customHeight="1">
      <c r="A133" s="29" t="s">
        <v>538</v>
      </c>
      <c r="B133" s="29" t="s">
        <v>299</v>
      </c>
      <c r="C133" s="29" t="s">
        <v>529</v>
      </c>
      <c r="D133" s="29" t="s">
        <v>30</v>
      </c>
      <c r="E133" s="29" t="s">
        <v>539</v>
      </c>
      <c r="F133" s="29"/>
      <c r="G133" s="29" t="s">
        <v>7</v>
      </c>
      <c r="H133" s="2" t="s">
        <v>5</v>
      </c>
      <c r="I133" s="29"/>
      <c r="J133" s="29"/>
      <c r="K133" s="19" t="s">
        <v>11</v>
      </c>
      <c r="L133" s="19" t="s">
        <v>17</v>
      </c>
      <c r="M133" s="30" t="s">
        <v>540</v>
      </c>
      <c r="N133" s="30" t="s">
        <v>541</v>
      </c>
      <c r="O133" s="32"/>
      <c r="P133" s="32"/>
      <c r="Q133" s="32"/>
      <c r="R133" s="32"/>
      <c r="S133" s="32"/>
    </row>
    <row r="134" spans="1:19" ht="16.5" customHeight="1">
      <c r="A134" s="29" t="s">
        <v>542</v>
      </c>
      <c r="B134" s="29" t="s">
        <v>299</v>
      </c>
      <c r="C134" s="29" t="s">
        <v>529</v>
      </c>
      <c r="D134" s="29" t="s">
        <v>91</v>
      </c>
      <c r="E134" s="29" t="s">
        <v>543</v>
      </c>
      <c r="F134" s="29"/>
      <c r="G134" s="29" t="s">
        <v>7</v>
      </c>
      <c r="H134" s="2" t="s">
        <v>5</v>
      </c>
      <c r="I134" s="29"/>
      <c r="J134" s="29"/>
      <c r="K134" s="19" t="s">
        <v>11</v>
      </c>
      <c r="L134" s="19"/>
      <c r="M134" s="30"/>
      <c r="N134" s="30" t="s">
        <v>544</v>
      </c>
      <c r="O134" s="32"/>
      <c r="P134" s="32"/>
      <c r="Q134" s="32"/>
      <c r="R134" s="32"/>
      <c r="S134" s="32"/>
    </row>
    <row r="135" spans="1:19" ht="16.5" customHeight="1">
      <c r="A135" s="29" t="s">
        <v>545</v>
      </c>
      <c r="B135" s="29" t="s">
        <v>299</v>
      </c>
      <c r="C135" s="29" t="s">
        <v>529</v>
      </c>
      <c r="D135" s="29" t="s">
        <v>89</v>
      </c>
      <c r="E135" s="29" t="s">
        <v>546</v>
      </c>
      <c r="F135" s="29"/>
      <c r="G135" s="29" t="s">
        <v>7</v>
      </c>
      <c r="H135" s="2" t="s">
        <v>5</v>
      </c>
      <c r="I135" s="29"/>
      <c r="J135" s="29"/>
      <c r="K135" s="19" t="s">
        <v>11</v>
      </c>
      <c r="L135" s="19"/>
      <c r="M135" s="30"/>
      <c r="N135" s="30" t="s">
        <v>547</v>
      </c>
      <c r="O135" s="32"/>
      <c r="P135" s="32"/>
      <c r="Q135" s="32"/>
      <c r="R135" s="32"/>
      <c r="S135" s="32"/>
    </row>
    <row r="136" spans="1:19" ht="16.5" customHeight="1">
      <c r="A136" s="29" t="s">
        <v>548</v>
      </c>
      <c r="B136" s="29" t="s">
        <v>299</v>
      </c>
      <c r="C136" s="29" t="s">
        <v>529</v>
      </c>
      <c r="D136" s="29" t="s">
        <v>91</v>
      </c>
      <c r="E136" s="29" t="s">
        <v>549</v>
      </c>
      <c r="F136" s="29"/>
      <c r="G136" s="29" t="s">
        <v>7</v>
      </c>
      <c r="H136" s="2" t="s">
        <v>5</v>
      </c>
      <c r="I136" s="29"/>
      <c r="J136" s="29"/>
      <c r="K136" s="19" t="s">
        <v>11</v>
      </c>
      <c r="L136" s="19"/>
      <c r="M136" s="30"/>
      <c r="N136" s="30" t="s">
        <v>550</v>
      </c>
      <c r="O136" s="32"/>
      <c r="P136" s="32"/>
      <c r="Q136" s="32"/>
      <c r="R136" s="32"/>
      <c r="S136" s="32"/>
    </row>
    <row r="137" spans="1:19" ht="16.5" customHeight="1">
      <c r="A137" s="29" t="s">
        <v>551</v>
      </c>
      <c r="B137" s="29" t="s">
        <v>299</v>
      </c>
      <c r="C137" s="29" t="s">
        <v>529</v>
      </c>
      <c r="D137" s="29" t="s">
        <v>91</v>
      </c>
      <c r="E137" s="29" t="s">
        <v>552</v>
      </c>
      <c r="F137" s="29"/>
      <c r="G137" s="29" t="s">
        <v>7</v>
      </c>
      <c r="H137" s="2" t="s">
        <v>5</v>
      </c>
      <c r="I137" s="29"/>
      <c r="J137" s="29"/>
      <c r="K137" s="19" t="s">
        <v>11</v>
      </c>
      <c r="L137" s="19"/>
      <c r="M137" s="30"/>
      <c r="N137" s="30" t="s">
        <v>553</v>
      </c>
      <c r="O137" s="32"/>
      <c r="P137" s="32"/>
      <c r="Q137" s="32"/>
      <c r="R137" s="32"/>
      <c r="S137" s="32"/>
    </row>
    <row r="138" spans="1:19" ht="16.5" customHeight="1">
      <c r="A138" s="29" t="s">
        <v>554</v>
      </c>
      <c r="B138" s="29" t="s">
        <v>299</v>
      </c>
      <c r="C138" s="29" t="s">
        <v>529</v>
      </c>
      <c r="D138" s="29" t="s">
        <v>91</v>
      </c>
      <c r="E138" s="29" t="s">
        <v>555</v>
      </c>
      <c r="F138" s="29"/>
      <c r="G138" s="29" t="s">
        <v>7</v>
      </c>
      <c r="H138" s="2" t="s">
        <v>5</v>
      </c>
      <c r="I138" s="29"/>
      <c r="J138" s="29"/>
      <c r="K138" s="19" t="s">
        <v>11</v>
      </c>
      <c r="L138" s="19"/>
      <c r="M138" s="30"/>
      <c r="N138" s="30" t="s">
        <v>556</v>
      </c>
      <c r="O138" s="32"/>
      <c r="P138" s="32"/>
      <c r="Q138" s="32"/>
      <c r="R138" s="32"/>
      <c r="S138" s="32"/>
    </row>
    <row r="139" spans="1:19" ht="16.5" customHeight="1">
      <c r="A139" s="29" t="s">
        <v>557</v>
      </c>
      <c r="B139" s="29" t="s">
        <v>299</v>
      </c>
      <c r="C139" s="29" t="s">
        <v>529</v>
      </c>
      <c r="D139" s="29" t="s">
        <v>91</v>
      </c>
      <c r="E139" s="29" t="s">
        <v>558</v>
      </c>
      <c r="F139" s="29"/>
      <c r="G139" s="29" t="s">
        <v>4</v>
      </c>
      <c r="H139" s="2" t="s">
        <v>5</v>
      </c>
      <c r="I139" s="29"/>
      <c r="J139" s="29" t="s">
        <v>104</v>
      </c>
      <c r="K139" s="19" t="s">
        <v>11</v>
      </c>
      <c r="L139" s="19"/>
      <c r="M139" s="30"/>
      <c r="N139" s="30" t="s">
        <v>559</v>
      </c>
      <c r="O139" s="32"/>
      <c r="P139" s="32"/>
      <c r="Q139" s="32"/>
      <c r="R139" s="32"/>
      <c r="S139" s="32"/>
    </row>
    <row r="140" spans="1:19" ht="16.5" customHeight="1">
      <c r="A140" s="29" t="s">
        <v>560</v>
      </c>
      <c r="B140" s="29" t="s">
        <v>561</v>
      </c>
      <c r="C140" s="29" t="s">
        <v>561</v>
      </c>
      <c r="D140" s="29" t="s">
        <v>30</v>
      </c>
      <c r="E140" s="29" t="s">
        <v>562</v>
      </c>
      <c r="F140" s="29"/>
      <c r="G140" s="29" t="s">
        <v>4</v>
      </c>
      <c r="H140" s="2" t="s">
        <v>5</v>
      </c>
      <c r="I140" s="29"/>
      <c r="J140" s="29" t="s">
        <v>104</v>
      </c>
      <c r="K140" s="19" t="s">
        <v>11</v>
      </c>
      <c r="L140" s="19"/>
      <c r="M140" s="30"/>
      <c r="N140" s="30" t="s">
        <v>563</v>
      </c>
      <c r="O140" s="32"/>
      <c r="P140" s="32"/>
      <c r="Q140" s="32"/>
      <c r="R140" s="32"/>
      <c r="S140" s="32"/>
    </row>
    <row r="141" spans="1:19" ht="16.5" customHeight="1">
      <c r="A141" s="29" t="s">
        <v>564</v>
      </c>
      <c r="B141" s="29" t="s">
        <v>561</v>
      </c>
      <c r="C141" s="29" t="s">
        <v>561</v>
      </c>
      <c r="D141" s="29" t="s">
        <v>30</v>
      </c>
      <c r="E141" s="29" t="s">
        <v>565</v>
      </c>
      <c r="F141" s="29"/>
      <c r="G141" s="29" t="s">
        <v>7</v>
      </c>
      <c r="H141" s="2" t="s">
        <v>5</v>
      </c>
      <c r="I141" s="29"/>
      <c r="J141" s="29"/>
      <c r="K141" s="19" t="s">
        <v>11</v>
      </c>
      <c r="L141" s="19"/>
      <c r="M141" s="30"/>
      <c r="N141" s="31" t="s">
        <v>566</v>
      </c>
      <c r="O141" s="32"/>
      <c r="P141" s="32"/>
      <c r="Q141" s="32"/>
      <c r="R141" s="32"/>
      <c r="S141" s="32"/>
    </row>
    <row r="142" spans="1:19" ht="16.5" customHeight="1">
      <c r="A142" s="29" t="s">
        <v>567</v>
      </c>
      <c r="B142" s="29" t="s">
        <v>561</v>
      </c>
      <c r="C142" s="29" t="s">
        <v>561</v>
      </c>
      <c r="D142" s="29" t="s">
        <v>30</v>
      </c>
      <c r="E142" s="29" t="s">
        <v>568</v>
      </c>
      <c r="F142" s="29"/>
      <c r="G142" s="29" t="s">
        <v>7</v>
      </c>
      <c r="H142" s="2" t="s">
        <v>5</v>
      </c>
      <c r="I142" s="29"/>
      <c r="J142" s="29"/>
      <c r="K142" s="19" t="s">
        <v>11</v>
      </c>
      <c r="L142" s="19"/>
      <c r="M142" s="30"/>
      <c r="N142" s="30" t="s">
        <v>569</v>
      </c>
      <c r="O142" s="32"/>
      <c r="P142" s="32"/>
      <c r="Q142" s="32"/>
      <c r="R142" s="32"/>
      <c r="S142" s="32"/>
    </row>
    <row r="143" spans="1:19" ht="16.5" customHeight="1">
      <c r="A143" s="29" t="s">
        <v>570</v>
      </c>
      <c r="B143" s="29" t="s">
        <v>561</v>
      </c>
      <c r="C143" s="29" t="s">
        <v>561</v>
      </c>
      <c r="D143" s="29" t="s">
        <v>30</v>
      </c>
      <c r="E143" s="29" t="s">
        <v>571</v>
      </c>
      <c r="F143" s="29"/>
      <c r="G143" s="29" t="s">
        <v>7</v>
      </c>
      <c r="H143" s="2" t="s">
        <v>5</v>
      </c>
      <c r="I143" s="29"/>
      <c r="J143" s="29"/>
      <c r="K143" s="19" t="s">
        <v>11</v>
      </c>
      <c r="L143" s="19"/>
      <c r="M143" s="30"/>
      <c r="N143" s="30" t="s">
        <v>572</v>
      </c>
      <c r="O143" s="32"/>
      <c r="P143" s="32"/>
      <c r="Q143" s="32"/>
      <c r="R143" s="32"/>
      <c r="S143" s="32"/>
    </row>
    <row r="144" spans="1:19" ht="16.5" customHeight="1">
      <c r="A144" s="29" t="s">
        <v>573</v>
      </c>
      <c r="B144" s="29" t="s">
        <v>561</v>
      </c>
      <c r="C144" s="29" t="s">
        <v>561</v>
      </c>
      <c r="D144" s="29" t="s">
        <v>30</v>
      </c>
      <c r="E144" s="29" t="s">
        <v>574</v>
      </c>
      <c r="F144" s="29"/>
      <c r="G144" s="29" t="s">
        <v>7</v>
      </c>
      <c r="H144" s="2" t="s">
        <v>5</v>
      </c>
      <c r="I144" s="29"/>
      <c r="J144" s="29"/>
      <c r="K144" s="19" t="s">
        <v>11</v>
      </c>
      <c r="L144" s="19"/>
      <c r="M144" s="30"/>
      <c r="N144" s="30" t="s">
        <v>575</v>
      </c>
      <c r="O144" s="32"/>
      <c r="P144" s="32"/>
      <c r="Q144" s="32"/>
      <c r="R144" s="32"/>
      <c r="S144" s="32"/>
    </row>
    <row r="145" spans="1:19" ht="16.5" customHeight="1">
      <c r="A145" s="29" t="s">
        <v>576</v>
      </c>
      <c r="B145" s="29" t="s">
        <v>561</v>
      </c>
      <c r="C145" s="29" t="s">
        <v>561</v>
      </c>
      <c r="D145" s="29" t="s">
        <v>30</v>
      </c>
      <c r="E145" s="29" t="s">
        <v>577</v>
      </c>
      <c r="F145" s="29"/>
      <c r="G145" s="29" t="s">
        <v>6</v>
      </c>
      <c r="H145" s="2" t="s">
        <v>5</v>
      </c>
      <c r="I145" s="29"/>
      <c r="J145" s="29"/>
      <c r="K145" s="19" t="s">
        <v>11</v>
      </c>
      <c r="L145" s="19"/>
      <c r="M145" s="30"/>
      <c r="N145" s="30" t="s">
        <v>578</v>
      </c>
      <c r="O145" s="32"/>
      <c r="P145" s="32"/>
      <c r="Q145" s="32"/>
      <c r="R145" s="32"/>
      <c r="S145" s="32"/>
    </row>
    <row r="146" spans="1:19" ht="16.5" customHeight="1">
      <c r="A146" s="29" t="s">
        <v>579</v>
      </c>
      <c r="B146" s="29" t="s">
        <v>561</v>
      </c>
      <c r="C146" s="29" t="s">
        <v>561</v>
      </c>
      <c r="D146" s="29" t="s">
        <v>30</v>
      </c>
      <c r="E146" s="29" t="s">
        <v>580</v>
      </c>
      <c r="F146" s="29"/>
      <c r="G146" s="29" t="s">
        <v>7</v>
      </c>
      <c r="H146" s="2" t="s">
        <v>5</v>
      </c>
      <c r="I146" s="29"/>
      <c r="J146" s="29"/>
      <c r="K146" s="19" t="s">
        <v>11</v>
      </c>
      <c r="L146" s="19"/>
      <c r="M146" s="30"/>
      <c r="N146" s="30" t="s">
        <v>581</v>
      </c>
      <c r="O146" s="32"/>
      <c r="P146" s="32"/>
      <c r="Q146" s="32"/>
      <c r="R146" s="32"/>
      <c r="S146" s="32"/>
    </row>
    <row r="147" spans="1:19" ht="16.5" customHeight="1">
      <c r="A147" s="29" t="s">
        <v>582</v>
      </c>
      <c r="B147" s="29" t="s">
        <v>561</v>
      </c>
      <c r="C147" s="29" t="s">
        <v>561</v>
      </c>
      <c r="D147" s="29" t="s">
        <v>30</v>
      </c>
      <c r="E147" s="29" t="s">
        <v>583</v>
      </c>
      <c r="F147" s="29" t="s">
        <v>584</v>
      </c>
      <c r="G147" s="29" t="s">
        <v>7</v>
      </c>
      <c r="H147" s="2" t="s">
        <v>5</v>
      </c>
      <c r="I147" s="29"/>
      <c r="J147" s="29"/>
      <c r="K147" s="19" t="s">
        <v>11</v>
      </c>
      <c r="L147" s="19"/>
      <c r="M147" s="30"/>
      <c r="N147" s="30" t="s">
        <v>585</v>
      </c>
      <c r="O147" s="32"/>
      <c r="P147" s="32"/>
      <c r="Q147" s="32"/>
      <c r="R147" s="32"/>
      <c r="S147" s="32"/>
    </row>
    <row r="148" spans="1:19" ht="16.5" customHeight="1">
      <c r="A148" s="29" t="s">
        <v>586</v>
      </c>
      <c r="B148" s="29" t="s">
        <v>561</v>
      </c>
      <c r="C148" s="29" t="s">
        <v>561</v>
      </c>
      <c r="D148" s="29" t="s">
        <v>30</v>
      </c>
      <c r="E148" s="29" t="s">
        <v>587</v>
      </c>
      <c r="F148" s="29"/>
      <c r="G148" s="29" t="s">
        <v>7</v>
      </c>
      <c r="H148" s="2" t="s">
        <v>5</v>
      </c>
      <c r="I148" s="29"/>
      <c r="J148" s="29"/>
      <c r="K148" s="19" t="s">
        <v>11</v>
      </c>
      <c r="L148" s="19"/>
      <c r="M148" s="30"/>
      <c r="N148" s="30" t="s">
        <v>588</v>
      </c>
      <c r="O148" s="32"/>
      <c r="P148" s="32"/>
      <c r="Q148" s="32"/>
      <c r="R148" s="32"/>
      <c r="S148" s="32"/>
    </row>
    <row r="149" spans="1:19" ht="16.5" customHeight="1">
      <c r="A149" s="29" t="s">
        <v>589</v>
      </c>
      <c r="B149" s="29" t="s">
        <v>561</v>
      </c>
      <c r="C149" s="29" t="s">
        <v>561</v>
      </c>
      <c r="D149" s="29" t="s">
        <v>30</v>
      </c>
      <c r="E149" s="29" t="s">
        <v>590</v>
      </c>
      <c r="F149" s="29"/>
      <c r="G149" s="29" t="s">
        <v>7</v>
      </c>
      <c r="H149" s="2" t="s">
        <v>5</v>
      </c>
      <c r="I149" s="29"/>
      <c r="J149" s="29"/>
      <c r="K149" s="19" t="s">
        <v>11</v>
      </c>
      <c r="L149" s="19" t="s">
        <v>17</v>
      </c>
      <c r="M149" s="30"/>
      <c r="N149" s="30" t="s">
        <v>591</v>
      </c>
      <c r="O149" s="32"/>
      <c r="P149" s="32"/>
      <c r="Q149" s="32"/>
      <c r="R149" s="32"/>
      <c r="S149" s="32"/>
    </row>
    <row r="150" spans="1:19" ht="16.5" customHeight="1">
      <c r="A150" s="29" t="s">
        <v>592</v>
      </c>
      <c r="B150" s="29" t="s">
        <v>561</v>
      </c>
      <c r="C150" s="29" t="s">
        <v>593</v>
      </c>
      <c r="D150" s="29" t="s">
        <v>30</v>
      </c>
      <c r="E150" s="29" t="s">
        <v>594</v>
      </c>
      <c r="F150" s="29"/>
      <c r="G150" s="29" t="s">
        <v>6</v>
      </c>
      <c r="H150" s="2" t="s">
        <v>5</v>
      </c>
      <c r="I150" s="29"/>
      <c r="J150" s="29"/>
      <c r="K150" s="19" t="s">
        <v>11</v>
      </c>
      <c r="L150" s="19"/>
      <c r="M150" s="30"/>
      <c r="N150" s="30" t="s">
        <v>595</v>
      </c>
      <c r="O150" s="32"/>
      <c r="P150" s="32"/>
      <c r="Q150" s="32"/>
      <c r="R150" s="32"/>
      <c r="S150" s="32"/>
    </row>
    <row r="151" spans="1:19" ht="16.5" customHeight="1">
      <c r="A151" s="29" t="s">
        <v>592</v>
      </c>
      <c r="B151" s="29" t="s">
        <v>596</v>
      </c>
      <c r="C151" s="29" t="s">
        <v>597</v>
      </c>
      <c r="D151" s="29" t="s">
        <v>91</v>
      </c>
      <c r="E151" s="29" t="s">
        <v>598</v>
      </c>
      <c r="F151" s="29"/>
      <c r="G151" s="29" t="s">
        <v>7</v>
      </c>
      <c r="H151" s="2" t="s">
        <v>5</v>
      </c>
      <c r="I151" s="29"/>
      <c r="J151" s="29"/>
      <c r="K151" s="19" t="s">
        <v>11</v>
      </c>
      <c r="L151" s="19"/>
      <c r="M151" s="30"/>
      <c r="N151" s="30" t="s">
        <v>599</v>
      </c>
      <c r="O151" s="32"/>
      <c r="P151" s="32"/>
      <c r="Q151" s="32"/>
      <c r="R151" s="32"/>
      <c r="S151" s="32"/>
    </row>
    <row r="152" spans="1:19" ht="16.5" customHeight="1">
      <c r="A152" s="29" t="s">
        <v>600</v>
      </c>
      <c r="B152" s="29" t="s">
        <v>561</v>
      </c>
      <c r="C152" s="29" t="s">
        <v>593</v>
      </c>
      <c r="D152" s="29" t="s">
        <v>56</v>
      </c>
      <c r="E152" s="29" t="s">
        <v>601</v>
      </c>
      <c r="F152" s="29"/>
      <c r="G152" s="29" t="s">
        <v>7</v>
      </c>
      <c r="H152" s="2" t="s">
        <v>5</v>
      </c>
      <c r="I152" s="29"/>
      <c r="J152" s="29"/>
      <c r="K152" s="19" t="s">
        <v>11</v>
      </c>
      <c r="L152" s="19"/>
      <c r="M152" s="30"/>
      <c r="N152" s="30" t="s">
        <v>602</v>
      </c>
      <c r="O152" s="32"/>
      <c r="P152" s="32"/>
      <c r="Q152" s="32"/>
      <c r="R152" s="32"/>
      <c r="S152" s="32"/>
    </row>
    <row r="153" spans="1:19" ht="16.5" customHeight="1">
      <c r="A153" s="29" t="s">
        <v>603</v>
      </c>
      <c r="B153" s="29" t="s">
        <v>604</v>
      </c>
      <c r="C153" s="29" t="s">
        <v>300</v>
      </c>
      <c r="D153" s="29" t="s">
        <v>89</v>
      </c>
      <c r="E153" s="29" t="s">
        <v>605</v>
      </c>
      <c r="F153" s="29"/>
      <c r="G153" s="29" t="s">
        <v>4</v>
      </c>
      <c r="H153" s="2" t="s">
        <v>5</v>
      </c>
      <c r="I153" s="29"/>
      <c r="J153" s="29" t="s">
        <v>104</v>
      </c>
      <c r="K153" s="19" t="s">
        <v>11</v>
      </c>
      <c r="L153" s="19"/>
      <c r="M153" s="30"/>
      <c r="N153" s="30" t="s">
        <v>606</v>
      </c>
      <c r="O153" s="32"/>
      <c r="P153" s="32"/>
      <c r="Q153" s="32"/>
      <c r="R153" s="32"/>
      <c r="S153" s="32"/>
    </row>
    <row r="154" spans="1:19" ht="16.5" customHeight="1">
      <c r="A154" s="29" t="s">
        <v>607</v>
      </c>
      <c r="B154" s="29" t="s">
        <v>604</v>
      </c>
      <c r="C154" s="29" t="s">
        <v>300</v>
      </c>
      <c r="D154" s="29" t="s">
        <v>89</v>
      </c>
      <c r="E154" s="29" t="s">
        <v>608</v>
      </c>
      <c r="F154" s="29"/>
      <c r="G154" s="29" t="s">
        <v>7</v>
      </c>
      <c r="H154" s="2" t="s">
        <v>5</v>
      </c>
      <c r="I154" s="29"/>
      <c r="J154" s="29"/>
      <c r="K154" s="19" t="s">
        <v>11</v>
      </c>
      <c r="M154" s="30"/>
      <c r="N154" s="30" t="s">
        <v>609</v>
      </c>
      <c r="O154" s="32"/>
      <c r="P154" s="32"/>
      <c r="Q154" s="32"/>
      <c r="R154" s="32"/>
      <c r="S154" s="32"/>
    </row>
    <row r="155" spans="1:19" ht="16.5" customHeight="1">
      <c r="A155" s="29" t="s">
        <v>610</v>
      </c>
      <c r="B155" s="29" t="s">
        <v>604</v>
      </c>
      <c r="C155" s="29" t="s">
        <v>611</v>
      </c>
      <c r="D155" s="29" t="s">
        <v>91</v>
      </c>
      <c r="E155" s="29" t="s">
        <v>612</v>
      </c>
      <c r="F155" s="29"/>
      <c r="G155" s="29" t="s">
        <v>7</v>
      </c>
      <c r="H155" s="2" t="s">
        <v>5</v>
      </c>
      <c r="I155" s="29"/>
      <c r="J155" s="29"/>
      <c r="K155" s="19" t="s">
        <v>11</v>
      </c>
      <c r="M155" s="30"/>
      <c r="N155" s="30" t="s">
        <v>613</v>
      </c>
      <c r="O155" s="32"/>
      <c r="P155" s="32"/>
      <c r="Q155" s="32"/>
      <c r="R155" s="32"/>
      <c r="S155" s="32"/>
    </row>
    <row r="156" spans="1:19" ht="16.5" customHeight="1">
      <c r="A156" s="29" t="s">
        <v>614</v>
      </c>
      <c r="B156" s="29" t="s">
        <v>604</v>
      </c>
      <c r="C156" s="29" t="s">
        <v>611</v>
      </c>
      <c r="D156" s="29" t="s">
        <v>91</v>
      </c>
      <c r="E156" s="29" t="s">
        <v>615</v>
      </c>
      <c r="F156" s="29"/>
      <c r="G156" s="29" t="s">
        <v>7</v>
      </c>
      <c r="H156" s="2" t="s">
        <v>5</v>
      </c>
      <c r="I156" s="29"/>
      <c r="J156" s="29"/>
      <c r="K156" s="19" t="s">
        <v>11</v>
      </c>
      <c r="M156" s="30"/>
      <c r="N156" s="30" t="s">
        <v>616</v>
      </c>
      <c r="O156" s="32"/>
      <c r="P156" s="32"/>
      <c r="Q156" s="32"/>
      <c r="R156" s="32"/>
      <c r="S156" s="32"/>
    </row>
    <row r="157" spans="1:19" ht="16.5" customHeight="1">
      <c r="A157" s="29" t="s">
        <v>617</v>
      </c>
      <c r="B157" s="29" t="s">
        <v>604</v>
      </c>
      <c r="C157" s="29" t="s">
        <v>618</v>
      </c>
      <c r="D157" s="29" t="s">
        <v>89</v>
      </c>
      <c r="E157" s="29" t="s">
        <v>619</v>
      </c>
      <c r="F157" s="29"/>
      <c r="G157" s="29" t="s">
        <v>7</v>
      </c>
      <c r="H157" s="2" t="s">
        <v>5</v>
      </c>
      <c r="I157" s="29"/>
      <c r="J157" s="29"/>
      <c r="K157" s="19" t="s">
        <v>11</v>
      </c>
      <c r="L157" s="19" t="s">
        <v>17</v>
      </c>
      <c r="M157" s="30"/>
      <c r="N157" s="30" t="s">
        <v>620</v>
      </c>
      <c r="O157" s="32"/>
      <c r="P157" s="32"/>
      <c r="Q157" s="32"/>
      <c r="R157" s="32"/>
      <c r="S157" s="32"/>
    </row>
    <row r="158" spans="1:19" ht="16.5" customHeight="1">
      <c r="A158" s="29" t="s">
        <v>621</v>
      </c>
      <c r="B158" s="29" t="s">
        <v>604</v>
      </c>
      <c r="C158" s="29" t="s">
        <v>618</v>
      </c>
      <c r="D158" s="29" t="s">
        <v>89</v>
      </c>
      <c r="E158" s="29" t="s">
        <v>622</v>
      </c>
      <c r="F158" s="29"/>
      <c r="G158" s="29" t="s">
        <v>7</v>
      </c>
      <c r="H158" s="2" t="s">
        <v>5</v>
      </c>
      <c r="I158" s="29"/>
      <c r="J158" s="29"/>
      <c r="K158" s="19"/>
      <c r="M158" s="30"/>
      <c r="N158" s="30" t="s">
        <v>623</v>
      </c>
      <c r="O158" s="32"/>
      <c r="P158" s="32"/>
      <c r="Q158" s="32"/>
      <c r="R158" s="32"/>
      <c r="S158" s="32"/>
    </row>
    <row r="159" spans="1:19" ht="16.5" customHeight="1">
      <c r="A159" s="29" t="s">
        <v>624</v>
      </c>
      <c r="B159" s="29" t="s">
        <v>604</v>
      </c>
      <c r="C159" s="29" t="s">
        <v>618</v>
      </c>
      <c r="D159" s="29" t="s">
        <v>89</v>
      </c>
      <c r="E159" s="29" t="s">
        <v>625</v>
      </c>
      <c r="F159" s="29"/>
      <c r="G159" s="29" t="s">
        <v>7</v>
      </c>
      <c r="H159" s="2" t="s">
        <v>5</v>
      </c>
      <c r="I159" s="29"/>
      <c r="J159" s="29"/>
      <c r="K159" s="19" t="s">
        <v>11</v>
      </c>
      <c r="L159" s="19" t="s">
        <v>17</v>
      </c>
      <c r="M159" s="30"/>
      <c r="N159" s="30" t="s">
        <v>626</v>
      </c>
      <c r="O159" s="32"/>
      <c r="P159" s="32"/>
      <c r="Q159" s="32"/>
      <c r="R159" s="32"/>
      <c r="S159" s="32"/>
    </row>
    <row r="160" spans="1:19" ht="16.5" customHeight="1">
      <c r="A160" s="29" t="s">
        <v>627</v>
      </c>
      <c r="B160" s="29" t="s">
        <v>604</v>
      </c>
      <c r="C160" s="29" t="s">
        <v>618</v>
      </c>
      <c r="D160" s="29" t="s">
        <v>89</v>
      </c>
      <c r="E160" s="29" t="s">
        <v>628</v>
      </c>
      <c r="F160" s="29"/>
      <c r="G160" s="29" t="s">
        <v>7</v>
      </c>
      <c r="H160" s="2" t="s">
        <v>5</v>
      </c>
      <c r="I160" s="29"/>
      <c r="J160" s="29"/>
      <c r="K160" s="19" t="s">
        <v>11</v>
      </c>
      <c r="L160" s="19" t="s">
        <v>17</v>
      </c>
      <c r="M160" s="30"/>
      <c r="N160" s="30" t="s">
        <v>629</v>
      </c>
      <c r="O160" s="32"/>
      <c r="P160" s="32"/>
      <c r="Q160" s="32"/>
      <c r="R160" s="32"/>
      <c r="S160" s="32"/>
    </row>
    <row r="161" spans="1:19" ht="16.5" customHeight="1">
      <c r="A161" s="29" t="s">
        <v>630</v>
      </c>
      <c r="B161" s="29" t="s">
        <v>604</v>
      </c>
      <c r="C161" s="29" t="s">
        <v>618</v>
      </c>
      <c r="D161" s="29" t="s">
        <v>89</v>
      </c>
      <c r="E161" s="29" t="s">
        <v>631</v>
      </c>
      <c r="F161" s="29"/>
      <c r="G161" s="29" t="s">
        <v>7</v>
      </c>
      <c r="H161" s="2" t="s">
        <v>5</v>
      </c>
      <c r="I161" s="29"/>
      <c r="J161" s="29"/>
      <c r="K161" s="19" t="s">
        <v>11</v>
      </c>
      <c r="L161" s="19" t="s">
        <v>17</v>
      </c>
      <c r="M161" s="30"/>
      <c r="N161" s="30" t="s">
        <v>632</v>
      </c>
      <c r="O161" s="32"/>
      <c r="P161" s="32"/>
      <c r="Q161" s="32"/>
      <c r="R161" s="32"/>
      <c r="S161" s="32"/>
    </row>
    <row r="162" spans="1:19" ht="16.5" customHeight="1">
      <c r="A162" s="29" t="s">
        <v>633</v>
      </c>
      <c r="B162" s="29" t="s">
        <v>604</v>
      </c>
      <c r="C162" s="29" t="s">
        <v>618</v>
      </c>
      <c r="D162" s="29" t="s">
        <v>89</v>
      </c>
      <c r="E162" s="29" t="s">
        <v>634</v>
      </c>
      <c r="F162" s="29"/>
      <c r="G162" s="29" t="s">
        <v>7</v>
      </c>
      <c r="H162" s="2" t="s">
        <v>5</v>
      </c>
      <c r="I162" s="29"/>
      <c r="J162" s="29"/>
      <c r="K162" s="19" t="s">
        <v>11</v>
      </c>
      <c r="L162" s="19" t="s">
        <v>17</v>
      </c>
      <c r="M162" s="30"/>
      <c r="N162" s="31" t="s">
        <v>635</v>
      </c>
      <c r="O162" s="32"/>
      <c r="P162" s="32"/>
      <c r="Q162" s="32"/>
      <c r="R162" s="32"/>
      <c r="S162" s="32"/>
    </row>
    <row r="163" spans="1:19" ht="16.5" customHeight="1">
      <c r="A163" s="29" t="s">
        <v>636</v>
      </c>
      <c r="B163" s="29" t="s">
        <v>604</v>
      </c>
      <c r="C163" s="29" t="s">
        <v>618</v>
      </c>
      <c r="D163" s="29" t="s">
        <v>89</v>
      </c>
      <c r="E163" s="29" t="s">
        <v>637</v>
      </c>
      <c r="F163" s="29"/>
      <c r="G163" s="29" t="s">
        <v>7</v>
      </c>
      <c r="H163" s="2" t="s">
        <v>5</v>
      </c>
      <c r="I163" s="29"/>
      <c r="J163" s="29"/>
      <c r="K163" s="19" t="s">
        <v>11</v>
      </c>
      <c r="L163" s="19" t="s">
        <v>17</v>
      </c>
      <c r="M163" s="30"/>
      <c r="N163" s="31" t="s">
        <v>638</v>
      </c>
      <c r="O163" s="32"/>
      <c r="P163" s="32"/>
      <c r="Q163" s="32"/>
      <c r="R163" s="32"/>
      <c r="S163" s="32"/>
    </row>
    <row r="164" spans="1:19" ht="16.5" customHeight="1">
      <c r="A164" s="29" t="s">
        <v>639</v>
      </c>
      <c r="B164" s="29" t="s">
        <v>604</v>
      </c>
      <c r="C164" s="29" t="s">
        <v>618</v>
      </c>
      <c r="D164" s="29" t="s">
        <v>89</v>
      </c>
      <c r="E164" s="29" t="s">
        <v>640</v>
      </c>
      <c r="F164" s="29"/>
      <c r="G164" s="29" t="s">
        <v>7</v>
      </c>
      <c r="H164" s="2" t="s">
        <v>5</v>
      </c>
      <c r="I164" s="29"/>
      <c r="J164" s="29"/>
      <c r="K164" s="19" t="s">
        <v>11</v>
      </c>
      <c r="L164" s="19" t="s">
        <v>17</v>
      </c>
      <c r="M164" s="30"/>
      <c r="N164" s="30" t="s">
        <v>641</v>
      </c>
      <c r="O164" s="32"/>
      <c r="P164" s="32"/>
      <c r="Q164" s="32"/>
      <c r="R164" s="32"/>
      <c r="S164" s="32"/>
    </row>
    <row r="165" spans="1:19" ht="16.5" customHeight="1">
      <c r="A165" s="29" t="s">
        <v>642</v>
      </c>
      <c r="B165" s="29" t="s">
        <v>604</v>
      </c>
      <c r="C165" s="29" t="s">
        <v>618</v>
      </c>
      <c r="D165" s="29" t="s">
        <v>89</v>
      </c>
      <c r="E165" s="29" t="s">
        <v>643</v>
      </c>
      <c r="F165" s="29"/>
      <c r="G165" s="29" t="s">
        <v>6</v>
      </c>
      <c r="H165" s="2" t="s">
        <v>5</v>
      </c>
      <c r="I165" s="29"/>
      <c r="J165" s="29"/>
      <c r="K165" s="19" t="s">
        <v>11</v>
      </c>
      <c r="M165" s="30"/>
      <c r="N165" s="30" t="s">
        <v>644</v>
      </c>
      <c r="O165" s="32"/>
      <c r="P165" s="32"/>
      <c r="Q165" s="32"/>
      <c r="R165" s="32"/>
      <c r="S165" s="32"/>
    </row>
    <row r="166" spans="1:19" ht="16.5" customHeight="1">
      <c r="A166" s="29" t="s">
        <v>645</v>
      </c>
      <c r="B166" s="29" t="s">
        <v>604</v>
      </c>
      <c r="C166" s="29" t="s">
        <v>618</v>
      </c>
      <c r="D166" s="29" t="s">
        <v>89</v>
      </c>
      <c r="E166" s="29" t="s">
        <v>646</v>
      </c>
      <c r="F166" s="29"/>
      <c r="G166" s="29" t="s">
        <v>7</v>
      </c>
      <c r="H166" s="2" t="s">
        <v>5</v>
      </c>
      <c r="I166" s="29"/>
      <c r="J166" s="29"/>
      <c r="K166" s="19" t="s">
        <v>11</v>
      </c>
      <c r="M166" s="30"/>
      <c r="N166" s="30" t="s">
        <v>647</v>
      </c>
      <c r="O166" s="32"/>
      <c r="P166" s="32"/>
      <c r="Q166" s="32"/>
      <c r="R166" s="32"/>
      <c r="S166" s="32"/>
    </row>
    <row r="167" spans="1:19" ht="16.5" customHeight="1">
      <c r="A167" s="29" t="s">
        <v>648</v>
      </c>
      <c r="B167" s="29" t="s">
        <v>604</v>
      </c>
      <c r="C167" s="29" t="s">
        <v>618</v>
      </c>
      <c r="D167" s="29" t="s">
        <v>89</v>
      </c>
      <c r="E167" s="29" t="s">
        <v>649</v>
      </c>
      <c r="F167" s="29"/>
      <c r="G167" s="29" t="s">
        <v>7</v>
      </c>
      <c r="H167" s="2" t="s">
        <v>5</v>
      </c>
      <c r="I167" s="29"/>
      <c r="J167" s="29"/>
      <c r="K167" s="19" t="s">
        <v>11</v>
      </c>
      <c r="L167" s="19"/>
      <c r="M167" s="30"/>
      <c r="N167" s="31" t="s">
        <v>650</v>
      </c>
      <c r="O167" s="32"/>
      <c r="P167" s="32"/>
      <c r="Q167" s="32"/>
      <c r="R167" s="32"/>
      <c r="S167" s="32"/>
    </row>
    <row r="168" spans="1:19" ht="16.5" customHeight="1">
      <c r="A168" s="29" t="s">
        <v>651</v>
      </c>
      <c r="B168" s="29" t="s">
        <v>604</v>
      </c>
      <c r="C168" s="29" t="s">
        <v>618</v>
      </c>
      <c r="D168" s="29" t="s">
        <v>89</v>
      </c>
      <c r="E168" s="29" t="s">
        <v>652</v>
      </c>
      <c r="F168" s="29"/>
      <c r="G168" s="29" t="s">
        <v>7</v>
      </c>
      <c r="H168" s="2" t="s">
        <v>5</v>
      </c>
      <c r="I168" s="29"/>
      <c r="J168" s="29"/>
      <c r="K168" s="19" t="s">
        <v>11</v>
      </c>
      <c r="L168" s="19"/>
      <c r="M168" s="30"/>
      <c r="N168" s="30" t="s">
        <v>653</v>
      </c>
      <c r="O168" s="32"/>
      <c r="P168" s="32"/>
      <c r="Q168" s="32"/>
      <c r="R168" s="32"/>
      <c r="S168" s="32"/>
    </row>
    <row r="169" spans="1:19" ht="16.5" customHeight="1">
      <c r="A169" s="29" t="s">
        <v>654</v>
      </c>
      <c r="B169" s="29" t="s">
        <v>604</v>
      </c>
      <c r="C169" s="29" t="s">
        <v>618</v>
      </c>
      <c r="D169" s="29" t="s">
        <v>89</v>
      </c>
      <c r="E169" s="29" t="s">
        <v>655</v>
      </c>
      <c r="F169" s="29"/>
      <c r="G169" s="29" t="s">
        <v>7</v>
      </c>
      <c r="H169" s="2" t="s">
        <v>5</v>
      </c>
      <c r="I169" s="29"/>
      <c r="J169" s="29"/>
      <c r="K169" s="19" t="s">
        <v>11</v>
      </c>
      <c r="L169" s="19"/>
      <c r="M169" s="30"/>
      <c r="N169" s="30" t="s">
        <v>656</v>
      </c>
      <c r="O169" s="32"/>
      <c r="P169" s="32"/>
      <c r="Q169" s="32"/>
      <c r="R169" s="32"/>
      <c r="S169" s="32"/>
    </row>
    <row r="170" spans="1:19" ht="16.5" customHeight="1">
      <c r="A170" s="29" t="s">
        <v>657</v>
      </c>
      <c r="B170" s="29" t="s">
        <v>604</v>
      </c>
      <c r="C170" s="29" t="s">
        <v>618</v>
      </c>
      <c r="D170" s="29" t="s">
        <v>89</v>
      </c>
      <c r="E170" s="29" t="s">
        <v>658</v>
      </c>
      <c r="F170" s="29"/>
      <c r="G170" s="29" t="s">
        <v>7</v>
      </c>
      <c r="H170" s="2" t="s">
        <v>5</v>
      </c>
      <c r="I170" s="29"/>
      <c r="J170" s="29"/>
      <c r="K170" s="19" t="s">
        <v>11</v>
      </c>
      <c r="L170" s="19"/>
      <c r="M170" s="30"/>
      <c r="N170" s="30" t="s">
        <v>659</v>
      </c>
      <c r="O170" s="32"/>
      <c r="P170" s="32"/>
      <c r="Q170" s="32"/>
      <c r="R170" s="32"/>
      <c r="S170" s="32"/>
    </row>
    <row r="171" spans="1:19" ht="16.5" customHeight="1">
      <c r="A171" s="29" t="s">
        <v>660</v>
      </c>
      <c r="B171" s="29" t="s">
        <v>604</v>
      </c>
      <c r="C171" s="29" t="s">
        <v>618</v>
      </c>
      <c r="D171" s="29" t="s">
        <v>89</v>
      </c>
      <c r="E171" s="29" t="s">
        <v>661</v>
      </c>
      <c r="F171" s="29"/>
      <c r="G171" s="29" t="s">
        <v>7</v>
      </c>
      <c r="H171" s="2" t="s">
        <v>5</v>
      </c>
      <c r="I171" s="29"/>
      <c r="J171" s="29"/>
      <c r="K171" s="19" t="s">
        <v>11</v>
      </c>
      <c r="L171" s="19"/>
      <c r="M171" s="30"/>
      <c r="N171" s="30" t="s">
        <v>662</v>
      </c>
      <c r="O171" s="32"/>
      <c r="P171" s="32"/>
      <c r="Q171" s="32"/>
      <c r="R171" s="32"/>
      <c r="S171" s="32"/>
    </row>
    <row r="172" spans="1:19" ht="16.5" customHeight="1">
      <c r="A172" s="29" t="s">
        <v>663</v>
      </c>
      <c r="B172" s="29" t="s">
        <v>604</v>
      </c>
      <c r="C172" s="29" t="s">
        <v>618</v>
      </c>
      <c r="D172" s="29" t="s">
        <v>89</v>
      </c>
      <c r="E172" s="29" t="s">
        <v>664</v>
      </c>
      <c r="F172" s="29"/>
      <c r="G172" s="29" t="s">
        <v>7</v>
      </c>
      <c r="H172" s="2" t="s">
        <v>5</v>
      </c>
      <c r="I172" s="29"/>
      <c r="J172" s="29"/>
      <c r="K172" s="19" t="s">
        <v>11</v>
      </c>
      <c r="L172" s="19"/>
      <c r="M172" s="30"/>
      <c r="N172" s="30" t="s">
        <v>665</v>
      </c>
      <c r="O172" s="32"/>
      <c r="P172" s="32"/>
      <c r="Q172" s="32"/>
      <c r="R172" s="32"/>
      <c r="S172" s="32"/>
    </row>
    <row r="173" spans="1:19" ht="16.5" customHeight="1">
      <c r="A173" s="29" t="s">
        <v>666</v>
      </c>
      <c r="B173" s="29" t="s">
        <v>604</v>
      </c>
      <c r="C173" s="29" t="s">
        <v>618</v>
      </c>
      <c r="D173" s="29" t="s">
        <v>89</v>
      </c>
      <c r="E173" s="29" t="s">
        <v>667</v>
      </c>
      <c r="F173" s="29"/>
      <c r="G173" s="29" t="s">
        <v>7</v>
      </c>
      <c r="H173" s="2" t="s">
        <v>5</v>
      </c>
      <c r="I173" s="29"/>
      <c r="J173" s="29"/>
      <c r="K173" s="19" t="s">
        <v>11</v>
      </c>
      <c r="M173" s="30"/>
      <c r="N173" s="30" t="s">
        <v>668</v>
      </c>
      <c r="O173" s="32"/>
      <c r="P173" s="32"/>
      <c r="Q173" s="32"/>
      <c r="R173" s="32"/>
      <c r="S173" s="32"/>
    </row>
    <row r="174" spans="1:19" ht="16.5" customHeight="1">
      <c r="A174" s="29" t="s">
        <v>669</v>
      </c>
      <c r="B174" s="29" t="s">
        <v>604</v>
      </c>
      <c r="C174" s="29" t="s">
        <v>618</v>
      </c>
      <c r="D174" s="29" t="s">
        <v>89</v>
      </c>
      <c r="E174" s="29" t="s">
        <v>670</v>
      </c>
      <c r="F174" s="29"/>
      <c r="G174" s="29" t="s">
        <v>7</v>
      </c>
      <c r="H174" s="2" t="s">
        <v>5</v>
      </c>
      <c r="I174" s="29"/>
      <c r="J174" s="29"/>
      <c r="K174" s="19" t="s">
        <v>11</v>
      </c>
      <c r="M174" s="30"/>
      <c r="N174" s="30" t="s">
        <v>671</v>
      </c>
      <c r="O174" s="32"/>
      <c r="P174" s="32"/>
      <c r="Q174" s="32"/>
      <c r="R174" s="32"/>
      <c r="S174" s="32"/>
    </row>
    <row r="175" spans="1:19" ht="16.5" customHeight="1">
      <c r="A175" s="29" t="s">
        <v>672</v>
      </c>
      <c r="B175" s="29" t="s">
        <v>604</v>
      </c>
      <c r="C175" s="29" t="s">
        <v>673</v>
      </c>
      <c r="D175" s="29" t="s">
        <v>30</v>
      </c>
      <c r="E175" s="29" t="s">
        <v>674</v>
      </c>
      <c r="F175" s="29"/>
      <c r="G175" s="29" t="s">
        <v>7</v>
      </c>
      <c r="H175" s="2" t="s">
        <v>5</v>
      </c>
      <c r="I175" s="29"/>
      <c r="J175" s="29"/>
      <c r="K175" s="19" t="s">
        <v>11</v>
      </c>
      <c r="L175" s="19"/>
      <c r="M175" s="30"/>
      <c r="N175" s="30" t="s">
        <v>675</v>
      </c>
      <c r="O175" s="32"/>
      <c r="P175" s="32"/>
      <c r="Q175" s="32"/>
      <c r="R175" s="32"/>
      <c r="S175" s="32"/>
    </row>
    <row r="176" spans="1:19" ht="16.5" customHeight="1">
      <c r="A176" s="29" t="s">
        <v>676</v>
      </c>
      <c r="B176" s="29" t="s">
        <v>604</v>
      </c>
      <c r="C176" s="29" t="s">
        <v>673</v>
      </c>
      <c r="D176" s="29" t="s">
        <v>30</v>
      </c>
      <c r="E176" s="29" t="s">
        <v>677</v>
      </c>
      <c r="F176" s="29" t="s">
        <v>678</v>
      </c>
      <c r="G176" s="29" t="s">
        <v>7</v>
      </c>
      <c r="H176" s="2" t="s">
        <v>5</v>
      </c>
      <c r="I176" s="29"/>
      <c r="J176" s="29"/>
      <c r="K176" s="19" t="s">
        <v>11</v>
      </c>
      <c r="M176" s="30"/>
      <c r="N176" s="30" t="s">
        <v>679</v>
      </c>
      <c r="O176" s="32"/>
      <c r="P176" s="32"/>
      <c r="Q176" s="32"/>
      <c r="R176" s="32"/>
      <c r="S176" s="32"/>
    </row>
    <row r="177" spans="1:19" ht="16.5" customHeight="1">
      <c r="A177" s="29" t="s">
        <v>680</v>
      </c>
      <c r="B177" s="29" t="s">
        <v>604</v>
      </c>
      <c r="C177" s="29" t="s">
        <v>681</v>
      </c>
      <c r="D177" s="29" t="s">
        <v>89</v>
      </c>
      <c r="E177" s="29" t="s">
        <v>682</v>
      </c>
      <c r="F177" s="29"/>
      <c r="G177" s="29" t="s">
        <v>7</v>
      </c>
      <c r="H177" s="2" t="s">
        <v>5</v>
      </c>
      <c r="I177" s="29"/>
      <c r="J177" s="29"/>
      <c r="K177" s="19" t="s">
        <v>11</v>
      </c>
      <c r="M177" s="30"/>
      <c r="N177" s="30" t="s">
        <v>683</v>
      </c>
      <c r="O177" s="32"/>
      <c r="P177" s="32"/>
      <c r="Q177" s="32"/>
      <c r="R177" s="32"/>
      <c r="S177" s="32"/>
    </row>
    <row r="178" spans="1:19" ht="16.5" customHeight="1">
      <c r="A178" s="29" t="s">
        <v>684</v>
      </c>
      <c r="B178" s="29" t="s">
        <v>604</v>
      </c>
      <c r="C178" s="29" t="s">
        <v>681</v>
      </c>
      <c r="D178" s="29" t="s">
        <v>89</v>
      </c>
      <c r="E178" s="29" t="s">
        <v>685</v>
      </c>
      <c r="F178" s="29"/>
      <c r="G178" s="29" t="s">
        <v>7</v>
      </c>
      <c r="H178" s="2" t="s">
        <v>5</v>
      </c>
      <c r="I178" s="29"/>
      <c r="J178" s="29"/>
      <c r="K178" s="19" t="s">
        <v>11</v>
      </c>
      <c r="M178" s="30"/>
      <c r="N178" s="30" t="s">
        <v>686</v>
      </c>
      <c r="O178" s="32"/>
      <c r="P178" s="32"/>
      <c r="Q178" s="32"/>
      <c r="R178" s="32"/>
      <c r="S178" s="32"/>
    </row>
    <row r="179" spans="1:19" ht="16.5" customHeight="1">
      <c r="A179" s="29" t="s">
        <v>687</v>
      </c>
      <c r="B179" s="29" t="s">
        <v>604</v>
      </c>
      <c r="C179" s="29" t="s">
        <v>681</v>
      </c>
      <c r="D179" s="29" t="s">
        <v>89</v>
      </c>
      <c r="E179" s="29" t="s">
        <v>688</v>
      </c>
      <c r="F179" s="29"/>
      <c r="G179" s="29" t="s">
        <v>7</v>
      </c>
      <c r="H179" s="2" t="s">
        <v>5</v>
      </c>
      <c r="I179" s="29"/>
      <c r="J179" s="29"/>
      <c r="K179" s="19" t="s">
        <v>11</v>
      </c>
      <c r="M179" s="30"/>
      <c r="N179" s="30" t="s">
        <v>689</v>
      </c>
      <c r="O179" s="32"/>
      <c r="P179" s="32"/>
      <c r="Q179" s="32"/>
      <c r="R179" s="32"/>
      <c r="S179" s="32"/>
    </row>
    <row r="180" spans="1:19" ht="16.5" customHeight="1">
      <c r="A180" s="29" t="s">
        <v>690</v>
      </c>
      <c r="B180" s="29" t="s">
        <v>596</v>
      </c>
      <c r="C180" s="29" t="s">
        <v>691</v>
      </c>
      <c r="D180" s="29" t="s">
        <v>91</v>
      </c>
      <c r="E180" s="29" t="s">
        <v>692</v>
      </c>
      <c r="F180" s="29"/>
      <c r="G180" s="29" t="s">
        <v>4</v>
      </c>
      <c r="H180" s="2" t="s">
        <v>5</v>
      </c>
      <c r="I180" s="29"/>
      <c r="J180" s="29" t="s">
        <v>104</v>
      </c>
      <c r="K180" s="19" t="s">
        <v>11</v>
      </c>
      <c r="M180" s="30"/>
      <c r="N180" s="30" t="s">
        <v>693</v>
      </c>
      <c r="O180" s="32"/>
      <c r="P180" s="32"/>
      <c r="Q180" s="32"/>
      <c r="R180" s="32"/>
      <c r="S180" s="32"/>
    </row>
    <row r="181" spans="1:19" ht="16.5" customHeight="1">
      <c r="A181" s="29" t="s">
        <v>694</v>
      </c>
      <c r="B181" s="29" t="s">
        <v>596</v>
      </c>
      <c r="C181" s="29" t="s">
        <v>691</v>
      </c>
      <c r="D181" s="29" t="s">
        <v>91</v>
      </c>
      <c r="E181" s="29" t="s">
        <v>695</v>
      </c>
      <c r="F181" s="29"/>
      <c r="G181" s="29" t="s">
        <v>4</v>
      </c>
      <c r="H181" s="2" t="s">
        <v>5</v>
      </c>
      <c r="I181" s="29"/>
      <c r="J181" s="29" t="s">
        <v>104</v>
      </c>
      <c r="K181" s="19" t="s">
        <v>11</v>
      </c>
      <c r="M181" s="30"/>
      <c r="N181" s="30" t="s">
        <v>696</v>
      </c>
      <c r="O181" s="32"/>
      <c r="P181" s="32"/>
      <c r="Q181" s="32"/>
      <c r="R181" s="32"/>
      <c r="S181" s="32"/>
    </row>
    <row r="182" spans="1:19" ht="16.5" customHeight="1">
      <c r="A182" s="29" t="s">
        <v>697</v>
      </c>
      <c r="B182" s="29" t="s">
        <v>596</v>
      </c>
      <c r="C182" s="29" t="s">
        <v>691</v>
      </c>
      <c r="D182" s="29" t="s">
        <v>91</v>
      </c>
      <c r="E182" s="29" t="s">
        <v>698</v>
      </c>
      <c r="F182" s="29"/>
      <c r="G182" s="29" t="s">
        <v>7</v>
      </c>
      <c r="H182" s="2" t="s">
        <v>5</v>
      </c>
      <c r="I182" s="29"/>
      <c r="J182" s="29"/>
      <c r="K182" s="19" t="s">
        <v>11</v>
      </c>
      <c r="M182" s="30"/>
      <c r="N182" s="30" t="s">
        <v>699</v>
      </c>
      <c r="O182" s="32"/>
      <c r="P182" s="32"/>
      <c r="Q182" s="32"/>
      <c r="R182" s="32"/>
      <c r="S182" s="32"/>
    </row>
    <row r="183" spans="1:19" ht="16.5" customHeight="1">
      <c r="A183" s="29" t="s">
        <v>700</v>
      </c>
      <c r="B183" s="29" t="s">
        <v>30</v>
      </c>
      <c r="C183" s="29" t="s">
        <v>701</v>
      </c>
      <c r="D183" s="29" t="s">
        <v>30</v>
      </c>
      <c r="E183" s="29" t="s">
        <v>702</v>
      </c>
      <c r="F183" s="29"/>
      <c r="G183" s="29" t="s">
        <v>7</v>
      </c>
      <c r="H183" s="2" t="s">
        <v>5</v>
      </c>
      <c r="I183" s="29"/>
      <c r="J183" s="29"/>
      <c r="K183" s="19" t="s">
        <v>11</v>
      </c>
      <c r="M183" s="30"/>
      <c r="N183" s="30" t="s">
        <v>703</v>
      </c>
      <c r="O183" s="32"/>
      <c r="P183" s="32"/>
      <c r="Q183" s="32"/>
      <c r="R183" s="32"/>
      <c r="S183" s="32"/>
    </row>
    <row r="184" spans="1:19" ht="16.5" customHeight="1">
      <c r="A184" s="29" t="s">
        <v>704</v>
      </c>
      <c r="B184" s="29" t="s">
        <v>30</v>
      </c>
      <c r="C184" s="29" t="s">
        <v>701</v>
      </c>
      <c r="D184" s="29" t="s">
        <v>30</v>
      </c>
      <c r="E184" s="29" t="s">
        <v>705</v>
      </c>
      <c r="F184" s="29"/>
      <c r="G184" s="29" t="s">
        <v>7</v>
      </c>
      <c r="H184" s="2" t="s">
        <v>5</v>
      </c>
      <c r="I184" s="29"/>
      <c r="J184" s="29"/>
      <c r="K184" s="19" t="s">
        <v>11</v>
      </c>
      <c r="M184" s="30"/>
      <c r="N184" s="30" t="s">
        <v>706</v>
      </c>
      <c r="O184" s="32"/>
      <c r="P184" s="32"/>
      <c r="Q184" s="32"/>
      <c r="R184" s="32"/>
      <c r="S184" s="32"/>
    </row>
    <row r="185" spans="1:19" ht="16.5" customHeight="1">
      <c r="A185" s="29" t="s">
        <v>707</v>
      </c>
      <c r="B185" s="29" t="s">
        <v>30</v>
      </c>
      <c r="C185" s="29" t="s">
        <v>708</v>
      </c>
      <c r="D185" s="29" t="s">
        <v>30</v>
      </c>
      <c r="E185" s="29" t="s">
        <v>709</v>
      </c>
      <c r="F185" s="29"/>
      <c r="G185" s="29" t="s">
        <v>4</v>
      </c>
      <c r="H185" s="2" t="s">
        <v>5</v>
      </c>
      <c r="I185" s="29"/>
      <c r="J185" s="29" t="s">
        <v>104</v>
      </c>
      <c r="K185" s="19" t="s">
        <v>11</v>
      </c>
      <c r="M185" s="30"/>
      <c r="N185" s="30" t="s">
        <v>710</v>
      </c>
      <c r="O185" s="32"/>
      <c r="P185" s="32"/>
      <c r="Q185" s="32"/>
      <c r="R185" s="32"/>
      <c r="S185" s="32"/>
    </row>
    <row r="186" spans="1:19" ht="16.5" customHeight="1">
      <c r="A186" s="29" t="s">
        <v>711</v>
      </c>
      <c r="B186" s="29" t="s">
        <v>30</v>
      </c>
      <c r="C186" s="29" t="s">
        <v>708</v>
      </c>
      <c r="D186" s="29" t="s">
        <v>30</v>
      </c>
      <c r="E186" s="29" t="s">
        <v>712</v>
      </c>
      <c r="F186" s="29"/>
      <c r="G186" s="29" t="s">
        <v>7</v>
      </c>
      <c r="H186" s="2" t="s">
        <v>5</v>
      </c>
      <c r="I186" s="29"/>
      <c r="J186" s="29"/>
      <c r="K186" s="19" t="s">
        <v>11</v>
      </c>
      <c r="M186" s="30" t="s">
        <v>713</v>
      </c>
      <c r="N186" s="30" t="s">
        <v>714</v>
      </c>
      <c r="O186" s="32"/>
      <c r="P186" s="32"/>
      <c r="Q186" s="32"/>
      <c r="R186" s="32"/>
      <c r="S186" s="32"/>
    </row>
    <row r="187" spans="1:19" ht="16.5" customHeight="1">
      <c r="A187" s="29" t="s">
        <v>715</v>
      </c>
      <c r="B187" s="29" t="s">
        <v>30</v>
      </c>
      <c r="C187" s="29" t="s">
        <v>708</v>
      </c>
      <c r="D187" s="29" t="s">
        <v>30</v>
      </c>
      <c r="E187" s="29" t="s">
        <v>716</v>
      </c>
      <c r="F187" s="29"/>
      <c r="G187" s="29" t="s">
        <v>7</v>
      </c>
      <c r="H187" s="2" t="s">
        <v>5</v>
      </c>
      <c r="I187" s="29"/>
      <c r="J187" s="29"/>
      <c r="K187" s="19" t="s">
        <v>11</v>
      </c>
      <c r="M187" s="30"/>
      <c r="N187" s="30" t="s">
        <v>717</v>
      </c>
      <c r="O187" s="32"/>
      <c r="P187" s="32"/>
      <c r="Q187" s="32"/>
      <c r="R187" s="32"/>
      <c r="S187" s="32"/>
    </row>
    <row r="188" spans="1:19" ht="16.5" customHeight="1">
      <c r="A188" s="29" t="s">
        <v>718</v>
      </c>
      <c r="B188" s="29" t="s">
        <v>30</v>
      </c>
      <c r="C188" s="29" t="s">
        <v>708</v>
      </c>
      <c r="D188" s="29" t="s">
        <v>30</v>
      </c>
      <c r="E188" s="29" t="s">
        <v>719</v>
      </c>
      <c r="F188" s="29"/>
      <c r="G188" s="29" t="s">
        <v>7</v>
      </c>
      <c r="H188" s="2" t="s">
        <v>5</v>
      </c>
      <c r="I188" s="29"/>
      <c r="J188" s="29"/>
      <c r="K188" s="19" t="s">
        <v>11</v>
      </c>
      <c r="M188" s="30"/>
      <c r="N188" s="30" t="s">
        <v>720</v>
      </c>
      <c r="O188" s="32"/>
      <c r="P188" s="32"/>
      <c r="Q188" s="32"/>
      <c r="R188" s="32"/>
      <c r="S188" s="32"/>
    </row>
    <row r="189" spans="1:19" ht="16.5" customHeight="1">
      <c r="A189" s="29" t="s">
        <v>721</v>
      </c>
      <c r="B189" s="29" t="s">
        <v>30</v>
      </c>
      <c r="C189" s="29" t="s">
        <v>708</v>
      </c>
      <c r="D189" s="29" t="s">
        <v>30</v>
      </c>
      <c r="E189" s="29" t="s">
        <v>722</v>
      </c>
      <c r="F189" s="29"/>
      <c r="G189" s="29" t="s">
        <v>7</v>
      </c>
      <c r="H189" s="2" t="s">
        <v>5</v>
      </c>
      <c r="I189" s="29"/>
      <c r="J189" s="29"/>
      <c r="K189" s="19" t="s">
        <v>11</v>
      </c>
      <c r="M189" s="30"/>
      <c r="N189" s="30" t="s">
        <v>723</v>
      </c>
      <c r="O189" s="32"/>
      <c r="P189" s="32"/>
      <c r="Q189" s="32"/>
      <c r="R189" s="32"/>
      <c r="S189" s="32"/>
    </row>
    <row r="190" spans="1:19" ht="16.5" customHeight="1">
      <c r="A190" s="29" t="s">
        <v>724</v>
      </c>
      <c r="B190" s="29" t="s">
        <v>30</v>
      </c>
      <c r="C190" s="29" t="s">
        <v>708</v>
      </c>
      <c r="D190" s="29" t="s">
        <v>30</v>
      </c>
      <c r="E190" s="29" t="s">
        <v>725</v>
      </c>
      <c r="F190" s="29"/>
      <c r="G190" s="29" t="s">
        <v>7</v>
      </c>
      <c r="H190" s="2" t="s">
        <v>5</v>
      </c>
      <c r="I190" s="29"/>
      <c r="J190" s="29"/>
      <c r="K190" s="19" t="s">
        <v>11</v>
      </c>
      <c r="M190" s="30"/>
      <c r="N190" s="30" t="s">
        <v>726</v>
      </c>
      <c r="O190" s="32"/>
      <c r="P190" s="32"/>
      <c r="Q190" s="32"/>
      <c r="R190" s="32"/>
      <c r="S190" s="32"/>
    </row>
    <row r="191" spans="1:19" ht="16.5" customHeight="1">
      <c r="A191" s="29" t="s">
        <v>727</v>
      </c>
      <c r="B191" s="29" t="s">
        <v>30</v>
      </c>
      <c r="C191" s="29" t="s">
        <v>708</v>
      </c>
      <c r="D191" s="29" t="s">
        <v>30</v>
      </c>
      <c r="E191" s="29" t="s">
        <v>728</v>
      </c>
      <c r="F191" s="29"/>
      <c r="G191" s="29" t="s">
        <v>7</v>
      </c>
      <c r="H191" s="2" t="s">
        <v>5</v>
      </c>
      <c r="I191" s="29"/>
      <c r="J191" s="29"/>
      <c r="K191" s="19" t="s">
        <v>11</v>
      </c>
      <c r="M191" s="30"/>
      <c r="N191" s="30" t="s">
        <v>729</v>
      </c>
      <c r="O191" s="32"/>
      <c r="P191" s="32"/>
      <c r="Q191" s="32"/>
      <c r="R191" s="32"/>
      <c r="S191" s="32"/>
    </row>
    <row r="192" spans="1:19" ht="16.5" customHeight="1">
      <c r="A192" s="29" t="s">
        <v>730</v>
      </c>
      <c r="B192" s="29" t="s">
        <v>30</v>
      </c>
      <c r="C192" s="29" t="s">
        <v>708</v>
      </c>
      <c r="D192" s="29" t="s">
        <v>30</v>
      </c>
      <c r="E192" s="29" t="s">
        <v>731</v>
      </c>
      <c r="F192" s="29"/>
      <c r="G192" s="29" t="s">
        <v>7</v>
      </c>
      <c r="H192" s="2" t="s">
        <v>5</v>
      </c>
      <c r="I192" s="29"/>
      <c r="J192" s="29"/>
      <c r="K192" s="19" t="s">
        <v>11</v>
      </c>
      <c r="M192" s="30"/>
      <c r="N192" s="30" t="s">
        <v>732</v>
      </c>
      <c r="O192" s="32"/>
      <c r="P192" s="32"/>
      <c r="Q192" s="32"/>
      <c r="R192" s="32"/>
      <c r="S192" s="32"/>
    </row>
    <row r="193" spans="1:19" ht="16.5" customHeight="1">
      <c r="A193" s="29" t="s">
        <v>733</v>
      </c>
      <c r="B193" s="29" t="s">
        <v>30</v>
      </c>
      <c r="C193" s="29" t="s">
        <v>708</v>
      </c>
      <c r="D193" s="29" t="s">
        <v>30</v>
      </c>
      <c r="E193" s="29" t="s">
        <v>734</v>
      </c>
      <c r="F193" s="29"/>
      <c r="G193" s="29" t="s">
        <v>7</v>
      </c>
      <c r="H193" s="2" t="s">
        <v>5</v>
      </c>
      <c r="I193" s="29"/>
      <c r="J193" s="29"/>
      <c r="K193" s="19" t="s">
        <v>11</v>
      </c>
      <c r="M193" s="30"/>
      <c r="N193" s="30" t="s">
        <v>735</v>
      </c>
      <c r="O193" s="32"/>
      <c r="P193" s="32"/>
      <c r="Q193" s="32"/>
      <c r="R193" s="32"/>
      <c r="S193" s="32"/>
    </row>
    <row r="194" spans="1:19" ht="16.5" customHeight="1">
      <c r="A194" s="29" t="s">
        <v>736</v>
      </c>
      <c r="B194" s="29" t="s">
        <v>30</v>
      </c>
      <c r="C194" s="29" t="s">
        <v>708</v>
      </c>
      <c r="D194" s="29" t="s">
        <v>30</v>
      </c>
      <c r="E194" s="29" t="s">
        <v>737</v>
      </c>
      <c r="F194" s="29"/>
      <c r="G194" s="29" t="s">
        <v>7</v>
      </c>
      <c r="H194" s="2" t="s">
        <v>5</v>
      </c>
      <c r="I194" s="29"/>
      <c r="J194" s="29"/>
      <c r="K194" s="19" t="s">
        <v>11</v>
      </c>
      <c r="M194" s="30"/>
      <c r="N194" s="30" t="s">
        <v>738</v>
      </c>
      <c r="O194" s="32"/>
      <c r="P194" s="32"/>
      <c r="Q194" s="32"/>
      <c r="R194" s="32"/>
      <c r="S194" s="32"/>
    </row>
    <row r="195" spans="1:19" ht="16.5" customHeight="1">
      <c r="A195" s="29" t="s">
        <v>739</v>
      </c>
      <c r="B195" s="29" t="s">
        <v>30</v>
      </c>
      <c r="C195" s="29" t="s">
        <v>708</v>
      </c>
      <c r="D195" s="29" t="s">
        <v>30</v>
      </c>
      <c r="E195" s="29" t="s">
        <v>740</v>
      </c>
      <c r="F195" s="29"/>
      <c r="G195" s="29" t="s">
        <v>7</v>
      </c>
      <c r="H195" s="2" t="s">
        <v>5</v>
      </c>
      <c r="I195" s="29"/>
      <c r="J195" s="29"/>
      <c r="K195" s="19" t="s">
        <v>11</v>
      </c>
      <c r="M195" s="30"/>
      <c r="N195" s="30" t="s">
        <v>741</v>
      </c>
      <c r="O195" s="32"/>
      <c r="P195" s="32"/>
      <c r="Q195" s="32"/>
      <c r="R195" s="32"/>
      <c r="S195" s="32"/>
    </row>
    <row r="196" spans="1:19" ht="16.5" customHeight="1">
      <c r="A196" s="29" t="s">
        <v>742</v>
      </c>
      <c r="B196" s="29" t="s">
        <v>30</v>
      </c>
      <c r="C196" s="29" t="s">
        <v>708</v>
      </c>
      <c r="D196" s="29" t="s">
        <v>30</v>
      </c>
      <c r="E196" s="29" t="s">
        <v>743</v>
      </c>
      <c r="F196" s="29"/>
      <c r="G196" s="29" t="s">
        <v>7</v>
      </c>
      <c r="H196" s="2" t="s">
        <v>5</v>
      </c>
      <c r="I196" s="29"/>
      <c r="J196" s="29"/>
      <c r="K196" s="19" t="s">
        <v>11</v>
      </c>
      <c r="M196" s="30"/>
      <c r="N196" s="30" t="s">
        <v>744</v>
      </c>
      <c r="O196" s="32"/>
      <c r="P196" s="32"/>
      <c r="Q196" s="32"/>
      <c r="R196" s="32"/>
      <c r="S196" s="32"/>
    </row>
    <row r="197" spans="1:19" ht="16.5" customHeight="1">
      <c r="A197" s="29" t="s">
        <v>745</v>
      </c>
      <c r="B197" s="29" t="s">
        <v>30</v>
      </c>
      <c r="C197" s="29" t="s">
        <v>89</v>
      </c>
      <c r="D197" s="29" t="s">
        <v>30</v>
      </c>
      <c r="E197" s="29" t="s">
        <v>746</v>
      </c>
      <c r="F197" s="29"/>
      <c r="G197" s="29" t="s">
        <v>7</v>
      </c>
      <c r="H197" s="2" t="s">
        <v>5</v>
      </c>
      <c r="I197" s="29"/>
      <c r="J197" s="29"/>
      <c r="K197" s="19" t="s">
        <v>11</v>
      </c>
      <c r="M197" s="30"/>
      <c r="N197" s="31" t="s">
        <v>747</v>
      </c>
      <c r="O197" s="32"/>
      <c r="P197" s="32"/>
      <c r="Q197" s="32"/>
      <c r="R197" s="32"/>
      <c r="S197" s="32"/>
    </row>
    <row r="198" spans="1:19" ht="16.5" customHeight="1">
      <c r="A198" s="29" t="s">
        <v>748</v>
      </c>
      <c r="B198" s="29" t="s">
        <v>30</v>
      </c>
      <c r="C198" s="29" t="s">
        <v>89</v>
      </c>
      <c r="D198" s="29" t="s">
        <v>30</v>
      </c>
      <c r="E198" s="29" t="s">
        <v>749</v>
      </c>
      <c r="F198" s="29"/>
      <c r="G198" s="29" t="s">
        <v>7</v>
      </c>
      <c r="H198" s="2" t="s">
        <v>5</v>
      </c>
      <c r="I198" s="29"/>
      <c r="J198" s="29"/>
      <c r="K198" s="19" t="s">
        <v>11</v>
      </c>
      <c r="M198" s="30"/>
      <c r="N198" s="30" t="s">
        <v>750</v>
      </c>
      <c r="O198" s="32"/>
      <c r="P198" s="32"/>
      <c r="Q198" s="32"/>
      <c r="R198" s="32"/>
      <c r="S198" s="32"/>
    </row>
    <row r="199" spans="1:19" ht="16.5" customHeight="1">
      <c r="A199" s="29" t="s">
        <v>751</v>
      </c>
      <c r="B199" s="29" t="s">
        <v>30</v>
      </c>
      <c r="C199" s="29" t="s">
        <v>89</v>
      </c>
      <c r="D199" s="29" t="s">
        <v>30</v>
      </c>
      <c r="E199" s="29" t="s">
        <v>752</v>
      </c>
      <c r="F199" s="29"/>
      <c r="G199" s="29" t="s">
        <v>4</v>
      </c>
      <c r="H199" s="2" t="s">
        <v>5</v>
      </c>
      <c r="I199" s="29"/>
      <c r="J199" s="29" t="s">
        <v>104</v>
      </c>
      <c r="K199" s="19" t="s">
        <v>11</v>
      </c>
      <c r="M199" s="30"/>
      <c r="N199" s="31" t="s">
        <v>753</v>
      </c>
      <c r="O199" s="32"/>
      <c r="P199" s="32"/>
      <c r="Q199" s="32"/>
      <c r="R199" s="32"/>
      <c r="S199" s="32"/>
    </row>
    <row r="200" spans="1:19" ht="16.5" customHeight="1">
      <c r="A200" s="29" t="s">
        <v>754</v>
      </c>
      <c r="B200" s="29" t="s">
        <v>30</v>
      </c>
      <c r="C200" s="29" t="s">
        <v>89</v>
      </c>
      <c r="D200" s="29" t="s">
        <v>30</v>
      </c>
      <c r="E200" s="29" t="s">
        <v>755</v>
      </c>
      <c r="F200" s="29"/>
      <c r="G200" s="29" t="s">
        <v>4</v>
      </c>
      <c r="H200" s="2" t="s">
        <v>5</v>
      </c>
      <c r="I200" s="29"/>
      <c r="J200" s="29" t="s">
        <v>104</v>
      </c>
      <c r="K200" s="19" t="s">
        <v>11</v>
      </c>
      <c r="M200" s="30"/>
      <c r="N200" s="30" t="s">
        <v>756</v>
      </c>
      <c r="O200" s="32"/>
      <c r="P200" s="32"/>
      <c r="Q200" s="32"/>
      <c r="R200" s="32"/>
      <c r="S200" s="32"/>
    </row>
    <row r="201" spans="1:19" ht="16.5" customHeight="1">
      <c r="A201" s="29" t="s">
        <v>757</v>
      </c>
      <c r="B201" s="29" t="s">
        <v>30</v>
      </c>
      <c r="C201" s="29" t="s">
        <v>89</v>
      </c>
      <c r="D201" s="29" t="s">
        <v>30</v>
      </c>
      <c r="E201" s="29" t="s">
        <v>758</v>
      </c>
      <c r="F201" s="29"/>
      <c r="G201" s="29" t="s">
        <v>4</v>
      </c>
      <c r="H201" s="2" t="s">
        <v>5</v>
      </c>
      <c r="I201" s="29"/>
      <c r="J201" s="29" t="s">
        <v>104</v>
      </c>
      <c r="K201" s="19" t="s">
        <v>11</v>
      </c>
      <c r="M201" s="30"/>
      <c r="N201" s="30" t="s">
        <v>759</v>
      </c>
      <c r="O201" s="32"/>
      <c r="P201" s="32"/>
      <c r="Q201" s="32"/>
      <c r="R201" s="32"/>
      <c r="S201" s="32"/>
    </row>
    <row r="202" spans="1:19" ht="16.5" customHeight="1">
      <c r="A202" s="29" t="s">
        <v>760</v>
      </c>
      <c r="B202" s="29" t="s">
        <v>30</v>
      </c>
      <c r="C202" s="29" t="s">
        <v>89</v>
      </c>
      <c r="D202" s="29" t="s">
        <v>30</v>
      </c>
      <c r="E202" s="29" t="s">
        <v>761</v>
      </c>
      <c r="F202" s="29"/>
      <c r="G202" s="29" t="s">
        <v>4</v>
      </c>
      <c r="H202" s="2" t="s">
        <v>5</v>
      </c>
      <c r="I202" s="29"/>
      <c r="J202" s="29" t="s">
        <v>104</v>
      </c>
      <c r="K202" s="19" t="s">
        <v>11</v>
      </c>
      <c r="M202" s="30"/>
      <c r="N202" s="30" t="s">
        <v>762</v>
      </c>
      <c r="O202" s="32"/>
      <c r="P202" s="32"/>
      <c r="Q202" s="32"/>
      <c r="R202" s="32"/>
      <c r="S202" s="32"/>
    </row>
    <row r="203" spans="1:19" ht="16.5" customHeight="1">
      <c r="A203" s="29" t="s">
        <v>763</v>
      </c>
      <c r="B203" s="29" t="s">
        <v>30</v>
      </c>
      <c r="C203" s="29" t="s">
        <v>89</v>
      </c>
      <c r="D203" s="29" t="s">
        <v>30</v>
      </c>
      <c r="E203" s="29" t="s">
        <v>764</v>
      </c>
      <c r="F203" s="29"/>
      <c r="G203" s="29" t="s">
        <v>7</v>
      </c>
      <c r="H203" s="2" t="s">
        <v>5</v>
      </c>
      <c r="I203" s="29"/>
      <c r="J203" s="29"/>
      <c r="K203" s="19" t="s">
        <v>11</v>
      </c>
      <c r="M203" s="30"/>
      <c r="N203" s="30" t="s">
        <v>765</v>
      </c>
      <c r="O203" s="32"/>
      <c r="P203" s="32"/>
      <c r="Q203" s="32"/>
      <c r="R203" s="32"/>
      <c r="S203" s="32"/>
    </row>
    <row r="204" spans="1:19" ht="16.5" customHeight="1">
      <c r="A204" s="29" t="s">
        <v>766</v>
      </c>
      <c r="B204" s="29" t="s">
        <v>30</v>
      </c>
      <c r="C204" s="29" t="s">
        <v>89</v>
      </c>
      <c r="D204" s="29" t="s">
        <v>30</v>
      </c>
      <c r="E204" s="29" t="s">
        <v>767</v>
      </c>
      <c r="F204" s="29"/>
      <c r="G204" s="29" t="s">
        <v>7</v>
      </c>
      <c r="H204" s="2" t="s">
        <v>5</v>
      </c>
      <c r="I204" s="29"/>
      <c r="J204" s="29"/>
      <c r="K204" s="19" t="s">
        <v>11</v>
      </c>
      <c r="M204" s="30"/>
      <c r="N204" s="30" t="s">
        <v>768</v>
      </c>
      <c r="O204" s="32"/>
      <c r="P204" s="32"/>
      <c r="Q204" s="32"/>
      <c r="R204" s="32"/>
      <c r="S204" s="32"/>
    </row>
    <row r="205" spans="1:19" ht="16.5" customHeight="1">
      <c r="A205" s="29" t="s">
        <v>769</v>
      </c>
      <c r="B205" s="29" t="s">
        <v>30</v>
      </c>
      <c r="C205" s="29" t="s">
        <v>770</v>
      </c>
      <c r="D205" s="29" t="s">
        <v>30</v>
      </c>
      <c r="E205" s="29" t="s">
        <v>771</v>
      </c>
      <c r="F205" s="29"/>
      <c r="G205" s="29" t="s">
        <v>4</v>
      </c>
      <c r="H205" s="2" t="s">
        <v>5</v>
      </c>
      <c r="I205" s="29"/>
      <c r="J205" s="29" t="s">
        <v>104</v>
      </c>
      <c r="K205" s="19" t="s">
        <v>11</v>
      </c>
      <c r="M205" s="30"/>
      <c r="N205" s="30" t="s">
        <v>772</v>
      </c>
      <c r="O205" s="32"/>
      <c r="P205" s="32"/>
      <c r="Q205" s="32"/>
      <c r="R205" s="32"/>
      <c r="S205" s="32"/>
    </row>
    <row r="206" spans="1:19" ht="16.5" customHeight="1">
      <c r="A206" s="29" t="s">
        <v>773</v>
      </c>
      <c r="B206" s="29" t="s">
        <v>30</v>
      </c>
      <c r="C206" s="29" t="s">
        <v>770</v>
      </c>
      <c r="D206" s="29" t="s">
        <v>30</v>
      </c>
      <c r="E206" s="29" t="s">
        <v>774</v>
      </c>
      <c r="F206" s="29"/>
      <c r="G206" s="29" t="s">
        <v>4</v>
      </c>
      <c r="H206" s="2" t="s">
        <v>5</v>
      </c>
      <c r="I206" s="29"/>
      <c r="J206" s="29" t="s">
        <v>104</v>
      </c>
      <c r="K206" s="19" t="s">
        <v>11</v>
      </c>
      <c r="M206" s="30"/>
      <c r="N206" s="30" t="s">
        <v>775</v>
      </c>
      <c r="O206" s="32"/>
      <c r="P206" s="32"/>
      <c r="Q206" s="32"/>
      <c r="R206" s="32"/>
      <c r="S206" s="32"/>
    </row>
    <row r="207" spans="1:19" ht="16.5" customHeight="1">
      <c r="A207" s="29" t="s">
        <v>776</v>
      </c>
      <c r="B207" s="29" t="s">
        <v>30</v>
      </c>
      <c r="C207" s="29" t="s">
        <v>777</v>
      </c>
      <c r="D207" s="29" t="s">
        <v>30</v>
      </c>
      <c r="E207" s="29" t="s">
        <v>778</v>
      </c>
      <c r="F207" s="29"/>
      <c r="G207" s="29" t="s">
        <v>4</v>
      </c>
      <c r="H207" s="2" t="s">
        <v>5</v>
      </c>
      <c r="I207" s="29"/>
      <c r="J207" s="29" t="s">
        <v>104</v>
      </c>
      <c r="K207" s="19" t="s">
        <v>11</v>
      </c>
      <c r="L207" s="19"/>
      <c r="M207" s="30"/>
      <c r="N207" s="30" t="s">
        <v>779</v>
      </c>
      <c r="O207" s="32"/>
      <c r="P207" s="32"/>
      <c r="Q207" s="32"/>
      <c r="R207" s="32"/>
      <c r="S207" s="32"/>
    </row>
    <row r="208" spans="1:19" ht="16.5" customHeight="1">
      <c r="A208" s="29" t="s">
        <v>780</v>
      </c>
      <c r="B208" s="29" t="s">
        <v>30</v>
      </c>
      <c r="C208" s="29" t="s">
        <v>781</v>
      </c>
      <c r="D208" s="29" t="s">
        <v>30</v>
      </c>
      <c r="E208" s="29" t="s">
        <v>782</v>
      </c>
      <c r="F208" s="29"/>
      <c r="G208" s="29" t="s">
        <v>7</v>
      </c>
      <c r="H208" s="2" t="s">
        <v>5</v>
      </c>
      <c r="I208" s="29"/>
      <c r="J208" s="29"/>
      <c r="K208" s="19" t="s">
        <v>11</v>
      </c>
      <c r="L208" s="19"/>
      <c r="M208" s="30"/>
      <c r="N208" s="30" t="s">
        <v>783</v>
      </c>
      <c r="O208" s="32"/>
      <c r="P208" s="32"/>
      <c r="Q208" s="32"/>
      <c r="R208" s="32"/>
      <c r="S208" s="32"/>
    </row>
    <row r="209" spans="1:19">
      <c r="A209" s="29" t="s">
        <v>784</v>
      </c>
      <c r="B209" s="29" t="s">
        <v>30</v>
      </c>
      <c r="C209" s="29" t="s">
        <v>781</v>
      </c>
      <c r="D209" s="29" t="s">
        <v>30</v>
      </c>
      <c r="E209" s="29" t="s">
        <v>785</v>
      </c>
      <c r="F209" s="29"/>
      <c r="G209" s="29" t="s">
        <v>7</v>
      </c>
      <c r="H209" s="2" t="s">
        <v>5</v>
      </c>
      <c r="I209" s="29"/>
      <c r="J209" s="29"/>
      <c r="K209" s="19" t="s">
        <v>11</v>
      </c>
      <c r="L209" s="19"/>
      <c r="M209" s="30"/>
      <c r="N209" s="30" t="s">
        <v>786</v>
      </c>
      <c r="O209" s="32"/>
      <c r="P209" s="32"/>
      <c r="Q209" s="32"/>
      <c r="R209" s="32"/>
      <c r="S209" s="32"/>
    </row>
    <row r="210" spans="1:19">
      <c r="A210" s="29" t="s">
        <v>787</v>
      </c>
      <c r="B210" s="29" t="s">
        <v>788</v>
      </c>
      <c r="C210" s="29" t="s">
        <v>789</v>
      </c>
      <c r="D210" s="29" t="s">
        <v>89</v>
      </c>
      <c r="E210" s="29" t="s">
        <v>790</v>
      </c>
      <c r="F210" s="29"/>
      <c r="G210" s="29" t="s">
        <v>4</v>
      </c>
      <c r="H210" s="2" t="s">
        <v>5</v>
      </c>
      <c r="I210" s="29"/>
      <c r="J210" s="29" t="s">
        <v>104</v>
      </c>
      <c r="K210" s="19" t="s">
        <v>11</v>
      </c>
      <c r="L210" s="19"/>
      <c r="M210" s="30"/>
      <c r="N210" s="30" t="s">
        <v>791</v>
      </c>
      <c r="O210" s="32"/>
      <c r="P210" s="32"/>
      <c r="Q210" s="32"/>
      <c r="R210" s="32"/>
      <c r="S210" s="32"/>
    </row>
    <row r="211" spans="1:19">
      <c r="A211" s="29" t="s">
        <v>792</v>
      </c>
      <c r="B211" s="29" t="s">
        <v>788</v>
      </c>
      <c r="C211" s="29" t="s">
        <v>789</v>
      </c>
      <c r="D211" s="29" t="s">
        <v>89</v>
      </c>
      <c r="E211" s="29" t="s">
        <v>793</v>
      </c>
      <c r="F211" s="29"/>
      <c r="G211" s="29" t="s">
        <v>6</v>
      </c>
      <c r="H211" s="2" t="s">
        <v>5</v>
      </c>
      <c r="I211" s="29"/>
      <c r="J211" s="29"/>
      <c r="K211" s="19" t="s">
        <v>11</v>
      </c>
      <c r="L211" s="19"/>
      <c r="M211" s="30"/>
      <c r="N211" s="30" t="s">
        <v>794</v>
      </c>
      <c r="O211" s="32"/>
      <c r="P211" s="32"/>
      <c r="Q211" s="32"/>
      <c r="R211" s="32"/>
      <c r="S211" s="32"/>
    </row>
    <row r="212" spans="1:19">
      <c r="A212" s="29" t="s">
        <v>795</v>
      </c>
      <c r="B212" s="29" t="s">
        <v>788</v>
      </c>
      <c r="C212" s="29" t="s">
        <v>789</v>
      </c>
      <c r="D212" s="29" t="s">
        <v>89</v>
      </c>
      <c r="E212" s="29" t="s">
        <v>796</v>
      </c>
      <c r="F212" s="29"/>
      <c r="G212" s="29" t="s">
        <v>6</v>
      </c>
      <c r="H212" s="2" t="s">
        <v>5</v>
      </c>
      <c r="I212" s="29"/>
      <c r="J212" s="29"/>
      <c r="K212" s="19" t="s">
        <v>11</v>
      </c>
      <c r="M212" s="30"/>
      <c r="N212" s="30" t="s">
        <v>797</v>
      </c>
      <c r="O212" s="32"/>
      <c r="P212" s="32"/>
      <c r="Q212" s="32"/>
      <c r="R212" s="32"/>
      <c r="S212" s="32"/>
    </row>
    <row r="213" spans="1:19">
      <c r="A213" s="29" t="s">
        <v>798</v>
      </c>
      <c r="B213" s="29" t="s">
        <v>788</v>
      </c>
      <c r="C213" s="29" t="s">
        <v>789</v>
      </c>
      <c r="D213" s="29" t="s">
        <v>89</v>
      </c>
      <c r="E213" s="29" t="s">
        <v>799</v>
      </c>
      <c r="F213" s="29"/>
      <c r="G213" s="29" t="s">
        <v>4</v>
      </c>
      <c r="H213" s="2" t="s">
        <v>5</v>
      </c>
      <c r="I213" s="29"/>
      <c r="J213" s="29" t="s">
        <v>104</v>
      </c>
      <c r="K213" s="19" t="s">
        <v>11</v>
      </c>
      <c r="M213" s="30"/>
      <c r="N213" s="30" t="s">
        <v>800</v>
      </c>
      <c r="O213" s="32"/>
      <c r="P213" s="32"/>
      <c r="Q213" s="32"/>
      <c r="R213" s="32"/>
      <c r="S213" s="32"/>
    </row>
    <row r="214" spans="1:19">
      <c r="A214" s="29" t="s">
        <v>801</v>
      </c>
      <c r="B214" s="29" t="s">
        <v>788</v>
      </c>
      <c r="C214" s="29" t="s">
        <v>789</v>
      </c>
      <c r="D214" s="29" t="s">
        <v>89</v>
      </c>
      <c r="E214" s="29" t="s">
        <v>802</v>
      </c>
      <c r="F214" s="29"/>
      <c r="G214" s="29" t="s">
        <v>7</v>
      </c>
      <c r="H214" s="2" t="s">
        <v>5</v>
      </c>
      <c r="I214" s="29"/>
      <c r="J214" s="29"/>
      <c r="K214" s="19" t="s">
        <v>11</v>
      </c>
      <c r="M214" s="30"/>
      <c r="N214" s="30" t="s">
        <v>803</v>
      </c>
      <c r="O214" s="32"/>
      <c r="P214" s="32"/>
      <c r="Q214" s="32"/>
      <c r="R214" s="32"/>
      <c r="S214" s="32"/>
    </row>
    <row r="215" spans="1:19">
      <c r="A215" s="29" t="s">
        <v>804</v>
      </c>
      <c r="B215" s="29" t="s">
        <v>788</v>
      </c>
      <c r="C215" s="29" t="s">
        <v>789</v>
      </c>
      <c r="D215" s="29" t="s">
        <v>89</v>
      </c>
      <c r="E215" s="29" t="s">
        <v>805</v>
      </c>
      <c r="F215" s="29"/>
      <c r="G215" s="29" t="s">
        <v>4</v>
      </c>
      <c r="H215" s="2" t="s">
        <v>5</v>
      </c>
      <c r="I215" s="29"/>
      <c r="J215" s="29" t="s">
        <v>104</v>
      </c>
      <c r="K215" s="19" t="s">
        <v>11</v>
      </c>
      <c r="M215" s="30"/>
      <c r="N215" s="30" t="s">
        <v>806</v>
      </c>
      <c r="O215" s="32"/>
      <c r="P215" s="32"/>
      <c r="Q215" s="32"/>
      <c r="R215" s="32"/>
      <c r="S215" s="32"/>
    </row>
    <row r="216" spans="1:19">
      <c r="A216" s="29" t="s">
        <v>807</v>
      </c>
      <c r="B216" s="29" t="s">
        <v>788</v>
      </c>
      <c r="C216" s="29" t="s">
        <v>789</v>
      </c>
      <c r="D216" s="29" t="s">
        <v>89</v>
      </c>
      <c r="E216" s="29" t="s">
        <v>808</v>
      </c>
      <c r="F216" s="29"/>
      <c r="G216" s="29" t="s">
        <v>6</v>
      </c>
      <c r="H216" s="2" t="s">
        <v>5</v>
      </c>
      <c r="I216" s="29"/>
      <c r="J216" s="29"/>
      <c r="K216" s="19" t="s">
        <v>11</v>
      </c>
      <c r="M216" s="30"/>
      <c r="N216" s="30" t="s">
        <v>809</v>
      </c>
      <c r="O216" s="32"/>
      <c r="P216" s="32"/>
      <c r="Q216" s="32"/>
      <c r="R216" s="32"/>
      <c r="S216" s="32"/>
    </row>
    <row r="217" spans="1:19">
      <c r="A217" s="29" t="s">
        <v>810</v>
      </c>
      <c r="B217" s="29" t="s">
        <v>788</v>
      </c>
      <c r="C217" s="29" t="s">
        <v>811</v>
      </c>
      <c r="D217" s="29" t="s">
        <v>89</v>
      </c>
      <c r="E217" s="29" t="s">
        <v>812</v>
      </c>
      <c r="F217" s="29"/>
      <c r="G217" s="29" t="s">
        <v>4</v>
      </c>
      <c r="H217" s="2" t="s">
        <v>5</v>
      </c>
      <c r="I217" s="29"/>
      <c r="J217" s="29" t="s">
        <v>104</v>
      </c>
      <c r="K217" s="19" t="s">
        <v>11</v>
      </c>
      <c r="L217" s="19"/>
      <c r="M217" s="30"/>
      <c r="N217" s="30" t="s">
        <v>813</v>
      </c>
      <c r="O217" s="32"/>
      <c r="P217" s="32"/>
      <c r="Q217" s="32"/>
      <c r="R217" s="32"/>
      <c r="S217" s="32"/>
    </row>
    <row r="218" spans="1:19">
      <c r="A218" s="29" t="s">
        <v>814</v>
      </c>
      <c r="B218" s="29" t="s">
        <v>788</v>
      </c>
      <c r="C218" s="29" t="s">
        <v>811</v>
      </c>
      <c r="D218" s="29" t="s">
        <v>89</v>
      </c>
      <c r="E218" s="29" t="s">
        <v>815</v>
      </c>
      <c r="F218" s="29"/>
      <c r="G218" s="29" t="s">
        <v>6</v>
      </c>
      <c r="H218" s="2" t="s">
        <v>5</v>
      </c>
      <c r="I218" s="29"/>
      <c r="J218" s="29"/>
      <c r="K218" s="19" t="s">
        <v>11</v>
      </c>
      <c r="L218" s="19"/>
      <c r="M218" s="30"/>
      <c r="N218" s="30" t="s">
        <v>816</v>
      </c>
      <c r="O218" s="32"/>
      <c r="P218" s="32"/>
      <c r="Q218" s="32"/>
      <c r="R218" s="32"/>
      <c r="S218" s="32"/>
    </row>
    <row r="219" spans="1:19">
      <c r="A219" s="29" t="s">
        <v>817</v>
      </c>
      <c r="B219" s="29" t="s">
        <v>788</v>
      </c>
      <c r="C219" s="29" t="s">
        <v>811</v>
      </c>
      <c r="D219" s="29" t="s">
        <v>89</v>
      </c>
      <c r="E219" s="29" t="s">
        <v>818</v>
      </c>
      <c r="F219" s="29"/>
      <c r="G219" s="29" t="s">
        <v>7</v>
      </c>
      <c r="H219" s="2" t="s">
        <v>5</v>
      </c>
      <c r="I219" s="29"/>
      <c r="J219" s="29"/>
      <c r="K219" s="19" t="s">
        <v>11</v>
      </c>
      <c r="L219" s="19"/>
      <c r="M219" s="30"/>
      <c r="N219" s="30" t="s">
        <v>819</v>
      </c>
      <c r="O219" s="32"/>
      <c r="P219" s="32"/>
      <c r="Q219" s="32"/>
      <c r="R219" s="32"/>
      <c r="S219" s="32"/>
    </row>
    <row r="220" spans="1:19">
      <c r="A220" s="29" t="s">
        <v>820</v>
      </c>
      <c r="B220" s="29" t="s">
        <v>788</v>
      </c>
      <c r="C220" s="29" t="s">
        <v>821</v>
      </c>
      <c r="D220" s="29" t="s">
        <v>89</v>
      </c>
      <c r="E220" s="29" t="s">
        <v>822</v>
      </c>
      <c r="F220" s="29"/>
      <c r="G220" s="29" t="s">
        <v>4</v>
      </c>
      <c r="H220" s="2" t="s">
        <v>5</v>
      </c>
      <c r="I220" s="29"/>
      <c r="J220" s="29" t="s">
        <v>104</v>
      </c>
      <c r="K220" s="19" t="s">
        <v>11</v>
      </c>
      <c r="L220" s="19"/>
      <c r="M220" s="30"/>
      <c r="N220" s="30" t="s">
        <v>823</v>
      </c>
      <c r="O220" s="32"/>
      <c r="P220" s="32"/>
      <c r="Q220" s="32"/>
      <c r="R220" s="32"/>
      <c r="S220" s="32"/>
    </row>
    <row r="221" spans="1:19">
      <c r="A221" s="29" t="s">
        <v>824</v>
      </c>
      <c r="B221" s="29" t="s">
        <v>788</v>
      </c>
      <c r="C221" s="29" t="s">
        <v>30</v>
      </c>
      <c r="D221" s="29" t="s">
        <v>89</v>
      </c>
      <c r="E221" s="29" t="s">
        <v>825</v>
      </c>
      <c r="F221" s="29"/>
      <c r="G221" s="29" t="s">
        <v>4</v>
      </c>
      <c r="H221" s="2" t="s">
        <v>5</v>
      </c>
      <c r="I221" s="29"/>
      <c r="J221" s="29" t="s">
        <v>104</v>
      </c>
      <c r="K221" s="19" t="s">
        <v>11</v>
      </c>
      <c r="L221" s="19"/>
      <c r="M221" s="30"/>
      <c r="N221" s="30" t="s">
        <v>826</v>
      </c>
      <c r="O221" s="32"/>
      <c r="P221" s="32"/>
      <c r="Q221" s="32"/>
      <c r="R221" s="32"/>
      <c r="S221" s="32"/>
    </row>
    <row r="222" spans="1:19">
      <c r="A222" s="29"/>
      <c r="B222" s="29"/>
      <c r="C222" s="29"/>
      <c r="D222" s="29"/>
      <c r="E222" s="29"/>
      <c r="F222" s="29"/>
      <c r="G222" s="29"/>
      <c r="I222" s="29"/>
      <c r="J222" s="29"/>
      <c r="K222" s="19"/>
      <c r="L222" s="19"/>
      <c r="M222" s="30"/>
      <c r="N222" s="30"/>
      <c r="O222" s="32"/>
      <c r="P222" s="32"/>
      <c r="Q222" s="32"/>
      <c r="R222" s="32"/>
      <c r="S222" s="32"/>
    </row>
    <row r="223" spans="1:19">
      <c r="A223" s="29"/>
      <c r="B223" s="29"/>
      <c r="C223" s="29"/>
      <c r="D223" s="29"/>
      <c r="E223" s="29"/>
      <c r="F223" s="29"/>
      <c r="G223" s="29"/>
      <c r="I223" s="29"/>
      <c r="J223" s="29"/>
      <c r="K223" s="19"/>
      <c r="M223" s="30"/>
      <c r="N223" s="30"/>
      <c r="O223" s="32"/>
      <c r="P223" s="32"/>
      <c r="Q223" s="32"/>
      <c r="R223" s="32"/>
      <c r="S223" s="32"/>
    </row>
    <row r="224" spans="1:19">
      <c r="A224" s="29"/>
      <c r="B224" s="29"/>
      <c r="C224" s="29"/>
      <c r="D224" s="29"/>
      <c r="E224" s="29"/>
      <c r="F224" s="29"/>
      <c r="G224" s="29"/>
      <c r="I224" s="29"/>
      <c r="J224" s="29"/>
      <c r="K224" s="19"/>
      <c r="M224" s="30"/>
      <c r="N224" s="30"/>
      <c r="O224" s="32"/>
      <c r="P224" s="32"/>
      <c r="Q224" s="32"/>
      <c r="R224" s="32"/>
      <c r="S224" s="32"/>
    </row>
    <row r="225" spans="1:19">
      <c r="A225" s="29"/>
      <c r="B225" s="29"/>
      <c r="C225" s="29"/>
      <c r="D225" s="29"/>
      <c r="E225" s="29"/>
      <c r="F225" s="29"/>
      <c r="G225" s="29"/>
      <c r="I225" s="29"/>
      <c r="J225" s="29"/>
      <c r="K225" s="19"/>
      <c r="M225" s="30"/>
      <c r="N225" s="30"/>
      <c r="O225" s="32"/>
      <c r="P225" s="32"/>
      <c r="Q225" s="32"/>
      <c r="R225" s="32"/>
      <c r="S225" s="32"/>
    </row>
    <row r="226" spans="1:19">
      <c r="A226" s="29"/>
      <c r="B226" s="29"/>
      <c r="C226" s="29"/>
      <c r="D226" s="29"/>
      <c r="E226" s="29"/>
      <c r="F226" s="29"/>
      <c r="G226" s="29"/>
      <c r="I226" s="29"/>
      <c r="J226" s="29"/>
      <c r="K226" s="19"/>
      <c r="M226" s="30"/>
      <c r="N226" s="30"/>
      <c r="O226" s="32"/>
      <c r="P226" s="32"/>
      <c r="Q226" s="32"/>
      <c r="R226" s="32"/>
      <c r="S226" s="32"/>
    </row>
    <row r="227" spans="1:19">
      <c r="A227" s="29"/>
      <c r="B227" s="29"/>
      <c r="C227" s="29"/>
      <c r="D227" s="29"/>
      <c r="E227" s="29"/>
      <c r="F227" s="29"/>
      <c r="G227" s="29"/>
      <c r="I227" s="29"/>
      <c r="J227" s="29"/>
      <c r="K227" s="19"/>
      <c r="M227" s="30"/>
      <c r="N227" s="30"/>
      <c r="O227" s="32"/>
      <c r="P227" s="32"/>
      <c r="Q227" s="32"/>
      <c r="R227" s="32"/>
      <c r="S227" s="32"/>
    </row>
    <row r="228" spans="1:19">
      <c r="A228" s="29"/>
      <c r="B228" s="29"/>
      <c r="C228" s="29"/>
      <c r="D228" s="29"/>
      <c r="E228" s="29"/>
      <c r="F228" s="29"/>
      <c r="G228" s="29"/>
      <c r="I228" s="29"/>
      <c r="J228" s="29"/>
      <c r="K228" s="19"/>
      <c r="M228" s="30"/>
      <c r="N228" s="30"/>
      <c r="O228" s="32"/>
      <c r="P228" s="32"/>
      <c r="Q228" s="32"/>
      <c r="R228" s="32"/>
      <c r="S228" s="32"/>
    </row>
    <row r="229" spans="1:19">
      <c r="A229" s="29"/>
      <c r="B229" s="29"/>
      <c r="C229" s="29"/>
      <c r="D229" s="29"/>
      <c r="E229" s="29"/>
      <c r="F229" s="29"/>
      <c r="G229" s="29"/>
      <c r="I229" s="29"/>
      <c r="J229" s="29"/>
      <c r="K229" s="19"/>
      <c r="M229" s="30"/>
      <c r="N229" s="30"/>
      <c r="O229" s="32"/>
      <c r="P229" s="32"/>
      <c r="Q229" s="32"/>
      <c r="R229" s="32"/>
      <c r="S229" s="32"/>
    </row>
    <row r="230" spans="1:19">
      <c r="A230" s="29"/>
      <c r="B230" s="29"/>
      <c r="C230" s="29"/>
      <c r="D230" s="29"/>
      <c r="E230" s="29"/>
      <c r="F230" s="29"/>
      <c r="G230" s="29"/>
      <c r="I230" s="29"/>
      <c r="J230" s="29"/>
      <c r="K230" s="19"/>
      <c r="M230" s="30"/>
      <c r="N230" s="30"/>
      <c r="O230" s="32"/>
      <c r="P230" s="32"/>
      <c r="Q230" s="32"/>
      <c r="R230" s="32"/>
      <c r="S230" s="32"/>
    </row>
    <row r="231" spans="1:19">
      <c r="A231" s="29"/>
      <c r="B231" s="29"/>
      <c r="C231" s="29"/>
      <c r="D231" s="29"/>
      <c r="E231" s="29"/>
      <c r="F231" s="29"/>
      <c r="G231" s="29"/>
      <c r="I231" s="29"/>
      <c r="J231" s="29"/>
      <c r="K231" s="19"/>
      <c r="M231" s="30"/>
      <c r="N231" s="30"/>
      <c r="O231" s="32"/>
      <c r="P231" s="32"/>
      <c r="Q231" s="32"/>
      <c r="R231" s="32"/>
      <c r="S231" s="32"/>
    </row>
    <row r="232" spans="1:19">
      <c r="A232" s="29"/>
      <c r="B232" s="29"/>
      <c r="C232" s="29"/>
      <c r="D232" s="29"/>
      <c r="E232" s="29"/>
      <c r="F232" s="29"/>
      <c r="G232" s="29"/>
      <c r="I232" s="29"/>
      <c r="J232" s="29"/>
      <c r="K232" s="19"/>
      <c r="M232" s="30"/>
      <c r="N232" s="30"/>
      <c r="O232" s="32"/>
      <c r="P232" s="32"/>
      <c r="Q232" s="32"/>
      <c r="R232" s="32"/>
      <c r="S232" s="32"/>
    </row>
    <row r="233" spans="1:19">
      <c r="A233" s="29"/>
      <c r="B233" s="29"/>
      <c r="C233" s="29"/>
      <c r="D233" s="29"/>
      <c r="E233" s="29"/>
      <c r="F233" s="29"/>
      <c r="G233" s="29"/>
      <c r="I233" s="29"/>
      <c r="J233" s="29"/>
      <c r="K233" s="19"/>
      <c r="M233" s="30"/>
      <c r="N233" s="30"/>
      <c r="O233" s="32"/>
      <c r="P233" s="32"/>
      <c r="Q233" s="32"/>
      <c r="R233" s="32"/>
      <c r="S233" s="32"/>
    </row>
    <row r="234" spans="1:19">
      <c r="A234" s="29"/>
      <c r="B234" s="29"/>
      <c r="C234" s="29"/>
      <c r="D234" s="29"/>
      <c r="E234" s="29"/>
      <c r="F234" s="29"/>
      <c r="G234" s="29"/>
      <c r="I234" s="29"/>
      <c r="J234" s="29"/>
      <c r="K234" s="19"/>
      <c r="M234" s="30"/>
      <c r="N234" s="30"/>
      <c r="O234" s="32"/>
      <c r="P234" s="32"/>
      <c r="Q234" s="32"/>
      <c r="R234" s="32"/>
      <c r="S234" s="32"/>
    </row>
    <row r="235" spans="1:19">
      <c r="A235" s="29"/>
      <c r="B235" s="29"/>
      <c r="C235" s="29"/>
      <c r="D235" s="29"/>
      <c r="E235" s="29"/>
      <c r="F235" s="29"/>
      <c r="G235" s="29"/>
      <c r="I235" s="29"/>
      <c r="J235" s="29"/>
      <c r="K235" s="19"/>
      <c r="M235" s="30"/>
      <c r="N235" s="30"/>
      <c r="O235" s="32"/>
      <c r="P235" s="32"/>
      <c r="Q235" s="32"/>
      <c r="R235" s="32"/>
      <c r="S235" s="32"/>
    </row>
    <row r="236" spans="1:19">
      <c r="A236" s="29"/>
      <c r="B236" s="29"/>
      <c r="C236" s="29"/>
      <c r="D236" s="29"/>
      <c r="E236" s="29"/>
      <c r="F236" s="29"/>
      <c r="G236" s="29"/>
      <c r="I236" s="29"/>
      <c r="J236" s="29"/>
      <c r="K236" s="19"/>
      <c r="M236" s="30"/>
      <c r="N236" s="30"/>
      <c r="O236" s="32"/>
      <c r="P236" s="32"/>
      <c r="Q236" s="32"/>
      <c r="R236" s="32"/>
      <c r="S236" s="32"/>
    </row>
    <row r="237" spans="1:19">
      <c r="A237" s="29"/>
      <c r="B237" s="29"/>
      <c r="C237" s="29"/>
      <c r="D237" s="29"/>
      <c r="E237" s="29"/>
      <c r="F237" s="29"/>
      <c r="G237" s="29"/>
      <c r="I237" s="29"/>
      <c r="J237" s="29"/>
      <c r="K237" s="19"/>
      <c r="M237" s="30"/>
      <c r="N237" s="31"/>
      <c r="O237" s="32"/>
      <c r="P237" s="32"/>
      <c r="Q237" s="32"/>
      <c r="R237" s="32"/>
      <c r="S237" s="32"/>
    </row>
    <row r="238" spans="1:19">
      <c r="A238" s="29"/>
      <c r="B238" s="29"/>
      <c r="C238" s="29"/>
      <c r="D238" s="29"/>
      <c r="E238" s="29"/>
      <c r="F238" s="29"/>
      <c r="G238" s="29"/>
      <c r="I238" s="29"/>
      <c r="J238" s="29"/>
      <c r="K238" s="19"/>
      <c r="M238" s="30"/>
      <c r="N238" s="30"/>
      <c r="O238" s="32"/>
      <c r="P238" s="32"/>
      <c r="Q238" s="32"/>
      <c r="R238" s="32"/>
      <c r="S238" s="32"/>
    </row>
    <row r="239" spans="1:19">
      <c r="A239" s="29"/>
      <c r="B239" s="29"/>
      <c r="C239" s="29"/>
      <c r="D239" s="29"/>
      <c r="E239" s="29"/>
      <c r="F239" s="29"/>
      <c r="G239" s="29"/>
      <c r="I239" s="29"/>
      <c r="J239" s="29"/>
      <c r="K239" s="19"/>
      <c r="M239" s="30"/>
      <c r="N239" s="30"/>
      <c r="O239" s="32"/>
      <c r="P239" s="32"/>
      <c r="Q239" s="32"/>
      <c r="R239" s="32"/>
      <c r="S239" s="32"/>
    </row>
    <row r="240" spans="1:19">
      <c r="A240" s="29"/>
      <c r="B240" s="29"/>
      <c r="C240" s="29"/>
      <c r="D240" s="29"/>
      <c r="E240" s="29"/>
      <c r="F240" s="29"/>
      <c r="G240" s="29"/>
      <c r="I240" s="29"/>
      <c r="J240" s="29"/>
      <c r="K240" s="19"/>
      <c r="M240" s="30"/>
      <c r="N240" s="30"/>
      <c r="O240" s="32"/>
      <c r="P240" s="32"/>
      <c r="Q240" s="32"/>
      <c r="R240" s="32"/>
      <c r="S240" s="32"/>
    </row>
    <row r="241" spans="1:19">
      <c r="A241" s="29"/>
      <c r="B241" s="29"/>
      <c r="C241" s="29"/>
      <c r="D241" s="29"/>
      <c r="E241" s="29"/>
      <c r="F241" s="29"/>
      <c r="G241" s="29"/>
      <c r="I241" s="29"/>
      <c r="J241" s="29"/>
      <c r="K241" s="19"/>
      <c r="M241" s="30"/>
      <c r="N241" s="30"/>
      <c r="O241" s="32"/>
      <c r="P241" s="32"/>
      <c r="Q241" s="32"/>
      <c r="R241" s="32"/>
      <c r="S241" s="32"/>
    </row>
    <row r="242" spans="1:19">
      <c r="A242" s="29"/>
      <c r="B242" s="29"/>
      <c r="C242" s="29"/>
      <c r="D242" s="29"/>
      <c r="E242" s="29"/>
      <c r="F242" s="29"/>
      <c r="G242" s="29"/>
      <c r="I242" s="29"/>
      <c r="J242" s="29"/>
      <c r="K242" s="19"/>
      <c r="M242" s="30"/>
      <c r="N242" s="30"/>
      <c r="O242" s="32"/>
      <c r="P242" s="32"/>
      <c r="Q242" s="32"/>
      <c r="R242" s="32"/>
      <c r="S242" s="32"/>
    </row>
    <row r="243" spans="1:19">
      <c r="A243" s="29"/>
      <c r="B243" s="29"/>
      <c r="C243" s="29"/>
      <c r="D243" s="29"/>
      <c r="E243" s="29"/>
      <c r="F243" s="29"/>
      <c r="G243" s="29"/>
      <c r="I243" s="29"/>
      <c r="J243" s="29"/>
      <c r="K243" s="19"/>
      <c r="M243" s="30"/>
      <c r="N243" s="30"/>
      <c r="O243" s="32"/>
      <c r="P243" s="32"/>
      <c r="Q243" s="32"/>
      <c r="R243" s="32"/>
      <c r="S243" s="32"/>
    </row>
    <row r="244" spans="1:19">
      <c r="A244" s="29"/>
      <c r="B244" s="29"/>
      <c r="C244" s="29"/>
      <c r="D244" s="29"/>
      <c r="E244" s="29"/>
      <c r="F244" s="29"/>
      <c r="G244" s="29"/>
      <c r="I244" s="29"/>
      <c r="J244" s="29"/>
      <c r="K244" s="19"/>
      <c r="M244" s="30"/>
      <c r="N244" s="30"/>
      <c r="O244" s="32"/>
      <c r="P244" s="32"/>
      <c r="Q244" s="32"/>
      <c r="R244" s="32"/>
      <c r="S244" s="32"/>
    </row>
    <row r="245" spans="1:19">
      <c r="A245" s="29"/>
      <c r="B245" s="29"/>
      <c r="C245" s="29"/>
      <c r="D245" s="29"/>
      <c r="E245" s="29"/>
      <c r="F245" s="29"/>
      <c r="G245" s="29"/>
      <c r="I245" s="29"/>
      <c r="J245" s="29"/>
      <c r="K245" s="19"/>
      <c r="M245" s="30"/>
      <c r="N245" s="30"/>
      <c r="O245" s="32"/>
      <c r="P245" s="32"/>
      <c r="Q245" s="32"/>
      <c r="R245" s="32"/>
      <c r="S245" s="32"/>
    </row>
    <row r="246" spans="1:19">
      <c r="A246" s="29"/>
      <c r="B246" s="29"/>
      <c r="C246" s="29"/>
      <c r="D246" s="29"/>
      <c r="E246" s="29"/>
      <c r="F246" s="29"/>
      <c r="G246" s="29"/>
      <c r="I246" s="29"/>
      <c r="J246" s="29"/>
      <c r="K246" s="19"/>
      <c r="M246" s="30"/>
      <c r="N246" s="30"/>
      <c r="O246" s="32"/>
      <c r="P246" s="32"/>
      <c r="Q246" s="32"/>
      <c r="R246" s="32"/>
      <c r="S246" s="32"/>
    </row>
    <row r="247" spans="1:19">
      <c r="A247" s="29"/>
      <c r="B247" s="29"/>
      <c r="C247" s="29"/>
      <c r="D247" s="29"/>
      <c r="E247" s="29"/>
      <c r="F247" s="29"/>
      <c r="G247" s="29"/>
      <c r="I247" s="29"/>
      <c r="J247" s="29"/>
      <c r="M247" s="30"/>
      <c r="N247" s="30"/>
      <c r="O247" s="32"/>
      <c r="P247" s="32"/>
      <c r="Q247" s="32"/>
      <c r="R247" s="32"/>
      <c r="S247" s="32"/>
    </row>
    <row r="248" spans="1:19">
      <c r="A248" s="29"/>
      <c r="B248" s="29"/>
      <c r="C248" s="29"/>
      <c r="D248" s="29"/>
      <c r="E248" s="29"/>
      <c r="F248" s="29"/>
      <c r="G248" s="29"/>
      <c r="I248" s="29"/>
      <c r="J248" s="29"/>
      <c r="M248" s="30"/>
      <c r="N248" s="30"/>
      <c r="O248" s="32"/>
      <c r="P248" s="32"/>
      <c r="Q248" s="32"/>
      <c r="R248" s="32"/>
      <c r="S248" s="32"/>
    </row>
    <row r="249" spans="1:19">
      <c r="A249" s="29"/>
      <c r="B249" s="29"/>
      <c r="C249" s="29"/>
      <c r="D249" s="29"/>
      <c r="E249" s="29"/>
      <c r="F249" s="29"/>
      <c r="G249" s="29"/>
      <c r="I249" s="29"/>
      <c r="J249" s="29"/>
      <c r="M249" s="30"/>
      <c r="N249" s="30"/>
      <c r="O249" s="32"/>
      <c r="P249" s="32"/>
      <c r="Q249" s="32"/>
      <c r="R249" s="32"/>
      <c r="S249" s="32"/>
    </row>
    <row r="250" spans="1:19">
      <c r="A250" s="29"/>
      <c r="B250" s="29"/>
      <c r="C250" s="29"/>
      <c r="D250" s="29"/>
      <c r="E250" s="29"/>
      <c r="F250" s="29"/>
      <c r="G250" s="29"/>
      <c r="I250" s="29"/>
      <c r="J250" s="29"/>
      <c r="M250" s="30"/>
      <c r="N250" s="30"/>
      <c r="O250" s="32"/>
      <c r="P250" s="32"/>
      <c r="Q250" s="32"/>
      <c r="R250" s="32"/>
      <c r="S250" s="32"/>
    </row>
    <row r="251" spans="1:19">
      <c r="A251" s="29"/>
      <c r="B251" s="29"/>
      <c r="C251" s="29"/>
      <c r="D251" s="29"/>
      <c r="E251" s="29"/>
      <c r="F251" s="29"/>
      <c r="G251" s="29"/>
      <c r="I251" s="29"/>
      <c r="J251" s="29"/>
      <c r="M251" s="30"/>
      <c r="N251" s="30"/>
      <c r="O251" s="32"/>
      <c r="P251" s="32"/>
      <c r="Q251" s="32"/>
      <c r="R251" s="32"/>
      <c r="S251" s="32"/>
    </row>
    <row r="252" spans="1:19">
      <c r="A252" s="29"/>
      <c r="B252" s="29"/>
      <c r="C252" s="29"/>
      <c r="D252" s="29"/>
      <c r="E252" s="29"/>
      <c r="F252" s="29"/>
      <c r="G252" s="29"/>
      <c r="I252" s="29"/>
      <c r="J252" s="29"/>
      <c r="M252" s="30"/>
      <c r="N252" s="30"/>
      <c r="O252" s="32"/>
      <c r="P252" s="32"/>
      <c r="Q252" s="32"/>
      <c r="R252" s="32"/>
      <c r="S252" s="32"/>
    </row>
    <row r="253" spans="1:19">
      <c r="A253" s="29"/>
      <c r="B253" s="29"/>
      <c r="C253" s="29"/>
      <c r="D253" s="29"/>
      <c r="E253" s="29"/>
      <c r="F253" s="29"/>
      <c r="G253" s="29"/>
      <c r="I253" s="29"/>
      <c r="J253" s="29"/>
      <c r="M253" s="30"/>
      <c r="N253" s="30"/>
      <c r="O253" s="32"/>
      <c r="P253" s="32"/>
      <c r="Q253" s="32"/>
      <c r="R253" s="32"/>
      <c r="S253" s="32"/>
    </row>
    <row r="254" spans="1:19">
      <c r="A254" s="29"/>
      <c r="B254" s="29"/>
      <c r="C254" s="29"/>
      <c r="D254" s="29"/>
      <c r="E254" s="29"/>
      <c r="F254" s="29"/>
      <c r="G254" s="29"/>
      <c r="I254" s="29"/>
      <c r="J254" s="29"/>
      <c r="M254" s="30"/>
      <c r="N254" s="30"/>
      <c r="O254" s="32"/>
      <c r="P254" s="32"/>
      <c r="Q254" s="32"/>
      <c r="R254" s="32"/>
      <c r="S254" s="32"/>
    </row>
    <row r="255" spans="1:19">
      <c r="A255" s="29"/>
      <c r="B255" s="29"/>
      <c r="C255" s="29"/>
      <c r="D255" s="29"/>
      <c r="E255" s="29"/>
      <c r="F255" s="29"/>
      <c r="G255" s="29"/>
      <c r="I255" s="29"/>
      <c r="J255" s="29"/>
      <c r="M255" s="30"/>
      <c r="N255" s="30"/>
      <c r="O255" s="32"/>
      <c r="P255" s="32"/>
      <c r="Q255" s="32"/>
      <c r="R255" s="32"/>
      <c r="S255" s="32"/>
    </row>
    <row r="256" spans="1:19">
      <c r="A256" s="29"/>
      <c r="B256" s="29"/>
      <c r="C256" s="29"/>
      <c r="D256" s="29"/>
      <c r="E256" s="29"/>
      <c r="F256" s="29"/>
      <c r="G256" s="29"/>
      <c r="I256" s="29"/>
      <c r="J256" s="29"/>
      <c r="M256" s="30"/>
      <c r="N256" s="30"/>
      <c r="O256" s="32"/>
      <c r="P256" s="32"/>
      <c r="Q256" s="32"/>
      <c r="R256" s="32"/>
      <c r="S256" s="32"/>
    </row>
    <row r="257" spans="1:19">
      <c r="A257" s="29"/>
      <c r="B257" s="29"/>
      <c r="C257" s="29"/>
      <c r="D257" s="29"/>
      <c r="E257" s="29"/>
      <c r="F257" s="29"/>
      <c r="G257" s="29"/>
      <c r="I257" s="29"/>
      <c r="J257" s="29"/>
      <c r="M257" s="30"/>
      <c r="N257" s="30"/>
      <c r="O257" s="32"/>
      <c r="P257" s="32"/>
      <c r="Q257" s="32"/>
      <c r="R257" s="32"/>
      <c r="S257" s="32"/>
    </row>
    <row r="258" spans="1:19">
      <c r="A258" s="29"/>
      <c r="B258" s="29"/>
      <c r="C258" s="29"/>
      <c r="D258" s="29"/>
      <c r="E258" s="29"/>
      <c r="F258" s="29"/>
      <c r="G258" s="29"/>
      <c r="I258" s="29"/>
      <c r="J258" s="29"/>
      <c r="M258" s="30"/>
      <c r="N258" s="30"/>
      <c r="O258" s="32"/>
      <c r="P258" s="32"/>
      <c r="Q258" s="32"/>
      <c r="R258" s="32"/>
      <c r="S258" s="32"/>
    </row>
    <row r="259" spans="1:19">
      <c r="A259" s="29"/>
      <c r="B259" s="29"/>
      <c r="C259" s="29"/>
      <c r="D259" s="29"/>
      <c r="E259" s="29"/>
      <c r="F259" s="29"/>
      <c r="G259" s="29"/>
      <c r="I259" s="29"/>
      <c r="J259" s="29"/>
      <c r="M259" s="30"/>
      <c r="N259" s="30"/>
      <c r="O259" s="32"/>
      <c r="P259" s="32"/>
      <c r="Q259" s="32"/>
      <c r="R259" s="32"/>
      <c r="S259" s="32"/>
    </row>
    <row r="260" spans="1:19">
      <c r="A260" s="29"/>
      <c r="B260" s="29"/>
      <c r="C260" s="29"/>
      <c r="D260" s="29"/>
      <c r="E260" s="29"/>
      <c r="F260" s="29"/>
      <c r="G260" s="29"/>
      <c r="I260" s="29"/>
      <c r="J260" s="29"/>
      <c r="M260" s="30"/>
      <c r="N260" s="30"/>
      <c r="O260" s="32"/>
      <c r="P260" s="32"/>
      <c r="Q260" s="32"/>
      <c r="R260" s="32"/>
      <c r="S260" s="32"/>
    </row>
    <row r="261" spans="1:19">
      <c r="A261" s="29"/>
      <c r="B261" s="29"/>
      <c r="C261" s="29"/>
      <c r="D261" s="29"/>
      <c r="E261" s="29"/>
      <c r="F261" s="29"/>
      <c r="G261" s="29"/>
      <c r="I261" s="29"/>
      <c r="J261" s="29"/>
      <c r="M261" s="30"/>
      <c r="N261" s="30"/>
      <c r="O261" s="32"/>
      <c r="P261" s="32"/>
      <c r="Q261" s="32"/>
      <c r="R261" s="32"/>
      <c r="S261" s="32"/>
    </row>
    <row r="262" spans="1:19">
      <c r="A262" s="29"/>
      <c r="B262" s="29"/>
      <c r="C262" s="29"/>
      <c r="D262" s="29"/>
      <c r="E262" s="29"/>
      <c r="F262" s="29"/>
      <c r="G262" s="29"/>
      <c r="I262" s="29"/>
      <c r="J262" s="29"/>
      <c r="M262" s="30"/>
      <c r="N262" s="30"/>
      <c r="O262" s="32"/>
      <c r="P262" s="32"/>
      <c r="Q262" s="32"/>
      <c r="R262" s="32"/>
      <c r="S262" s="32"/>
    </row>
    <row r="263" spans="1:19">
      <c r="A263" s="29"/>
      <c r="B263" s="29"/>
      <c r="C263" s="29"/>
      <c r="D263" s="29"/>
      <c r="E263" s="29"/>
      <c r="F263" s="29"/>
      <c r="G263" s="29"/>
      <c r="I263" s="29"/>
      <c r="J263" s="29"/>
      <c r="M263" s="30"/>
      <c r="N263" s="30"/>
      <c r="O263" s="32"/>
      <c r="P263" s="32"/>
      <c r="Q263" s="32"/>
      <c r="R263" s="32"/>
      <c r="S263" s="32"/>
    </row>
    <row r="264" spans="1:19">
      <c r="A264" s="29"/>
      <c r="B264" s="29"/>
      <c r="C264" s="29"/>
      <c r="D264" s="29"/>
      <c r="E264" s="29"/>
      <c r="F264" s="29"/>
      <c r="G264" s="29"/>
      <c r="I264" s="29"/>
      <c r="J264" s="29"/>
      <c r="M264" s="30"/>
      <c r="N264" s="30"/>
      <c r="O264" s="32"/>
      <c r="P264" s="32"/>
      <c r="Q264" s="32"/>
      <c r="R264" s="32"/>
      <c r="S264" s="32"/>
    </row>
    <row r="265" spans="1:19">
      <c r="A265" s="29"/>
      <c r="B265" s="29"/>
      <c r="C265" s="29"/>
      <c r="D265" s="29"/>
      <c r="E265" s="29"/>
      <c r="F265" s="29"/>
      <c r="G265" s="29"/>
      <c r="I265" s="29"/>
      <c r="J265" s="29"/>
      <c r="M265" s="30"/>
      <c r="N265" s="30"/>
      <c r="O265" s="32"/>
      <c r="P265" s="32"/>
      <c r="Q265" s="32"/>
      <c r="R265" s="32"/>
      <c r="S265" s="32"/>
    </row>
    <row r="266" spans="1:19">
      <c r="A266" s="29"/>
      <c r="B266" s="29"/>
      <c r="C266" s="29"/>
      <c r="D266" s="29"/>
      <c r="E266" s="29"/>
      <c r="F266" s="29"/>
      <c r="G266" s="29"/>
      <c r="I266" s="29"/>
      <c r="J266" s="29"/>
      <c r="M266" s="30"/>
      <c r="N266" s="30"/>
      <c r="O266" s="32"/>
      <c r="P266" s="32"/>
      <c r="Q266" s="32"/>
      <c r="R266" s="32"/>
      <c r="S266" s="32"/>
    </row>
    <row r="267" spans="1:19">
      <c r="A267" s="29"/>
      <c r="B267" s="29"/>
      <c r="C267" s="29"/>
      <c r="D267" s="29"/>
      <c r="E267" s="29"/>
      <c r="F267" s="29"/>
      <c r="G267" s="29"/>
      <c r="I267" s="29"/>
      <c r="J267" s="29"/>
      <c r="M267" s="30"/>
      <c r="N267" s="30"/>
      <c r="O267" s="32"/>
      <c r="P267" s="32"/>
      <c r="Q267" s="32"/>
      <c r="R267" s="32"/>
      <c r="S267" s="32"/>
    </row>
    <row r="268" spans="1:19">
      <c r="A268" s="29"/>
      <c r="B268" s="29"/>
      <c r="C268" s="29"/>
      <c r="D268" s="29"/>
      <c r="E268" s="29"/>
      <c r="F268" s="29"/>
      <c r="G268" s="29"/>
      <c r="I268" s="29"/>
      <c r="J268" s="29"/>
      <c r="M268" s="30"/>
      <c r="N268" s="30"/>
      <c r="O268" s="32"/>
      <c r="P268" s="32"/>
      <c r="Q268" s="32"/>
      <c r="R268" s="32"/>
      <c r="S268" s="32"/>
    </row>
    <row r="269" spans="1:19">
      <c r="A269" s="29"/>
      <c r="B269" s="29"/>
      <c r="C269" s="29"/>
      <c r="D269" s="29"/>
      <c r="E269" s="29"/>
      <c r="F269" s="29"/>
      <c r="G269" s="29"/>
      <c r="I269" s="29"/>
      <c r="J269" s="29"/>
      <c r="M269" s="30"/>
      <c r="N269" s="30"/>
      <c r="O269" s="32"/>
      <c r="P269" s="32"/>
      <c r="Q269" s="32"/>
      <c r="R269" s="32"/>
      <c r="S269" s="32"/>
    </row>
    <row r="270" spans="1:19">
      <c r="A270" s="29"/>
      <c r="B270" s="29"/>
      <c r="C270" s="29"/>
      <c r="D270" s="29"/>
      <c r="E270" s="29"/>
      <c r="F270" s="29"/>
      <c r="G270" s="29"/>
      <c r="I270" s="29"/>
      <c r="J270" s="29"/>
      <c r="M270" s="30"/>
      <c r="N270" s="30"/>
      <c r="O270" s="32"/>
      <c r="P270" s="32"/>
      <c r="Q270" s="32"/>
      <c r="R270" s="32"/>
      <c r="S270" s="32"/>
    </row>
    <row r="271" spans="1:19">
      <c r="A271" s="29"/>
      <c r="B271" s="29"/>
      <c r="C271" s="29"/>
      <c r="D271" s="29"/>
      <c r="E271" s="29"/>
      <c r="F271" s="29"/>
      <c r="G271" s="29"/>
      <c r="I271" s="29"/>
      <c r="J271" s="29"/>
      <c r="M271" s="30"/>
      <c r="N271" s="30"/>
      <c r="O271" s="32"/>
      <c r="P271" s="32"/>
      <c r="Q271" s="32"/>
      <c r="R271" s="32"/>
      <c r="S271" s="32"/>
    </row>
    <row r="272" spans="1:19">
      <c r="A272" s="29"/>
      <c r="B272" s="29"/>
      <c r="C272" s="29"/>
      <c r="D272" s="29"/>
      <c r="E272" s="29"/>
      <c r="F272" s="29"/>
      <c r="G272" s="29"/>
      <c r="I272" s="29"/>
      <c r="J272" s="29"/>
      <c r="M272" s="30"/>
      <c r="N272" s="30"/>
      <c r="O272" s="32"/>
      <c r="P272" s="32"/>
      <c r="Q272" s="32"/>
      <c r="R272" s="32"/>
      <c r="S272" s="32"/>
    </row>
    <row r="273" spans="1:19">
      <c r="A273" s="29"/>
      <c r="B273" s="29"/>
      <c r="C273" s="29"/>
      <c r="D273" s="29"/>
      <c r="E273" s="29"/>
      <c r="F273" s="29"/>
      <c r="G273" s="29"/>
      <c r="I273" s="29"/>
      <c r="J273" s="29"/>
      <c r="M273" s="30"/>
      <c r="N273" s="30"/>
      <c r="O273" s="32"/>
      <c r="P273" s="32"/>
      <c r="Q273" s="32"/>
      <c r="R273" s="32"/>
      <c r="S273" s="32"/>
    </row>
    <row r="274" spans="1:19">
      <c r="A274" s="29"/>
      <c r="B274" s="29"/>
      <c r="C274" s="29"/>
      <c r="D274" s="29"/>
      <c r="E274" s="29"/>
      <c r="F274" s="29"/>
      <c r="G274" s="29"/>
      <c r="I274" s="29"/>
      <c r="J274" s="29"/>
      <c r="M274" s="30"/>
      <c r="N274" s="30"/>
      <c r="O274" s="32"/>
      <c r="P274" s="32"/>
      <c r="Q274" s="32"/>
      <c r="R274" s="32"/>
      <c r="S274" s="32"/>
    </row>
    <row r="275" spans="1:19">
      <c r="A275" s="29"/>
      <c r="B275" s="29"/>
      <c r="C275" s="29"/>
      <c r="D275" s="29"/>
      <c r="E275" s="29"/>
      <c r="F275" s="29"/>
      <c r="G275" s="29"/>
      <c r="I275" s="29"/>
      <c r="J275" s="29"/>
      <c r="M275" s="30"/>
      <c r="N275" s="30"/>
      <c r="O275" s="32"/>
      <c r="P275" s="32"/>
      <c r="Q275" s="32"/>
      <c r="R275" s="32"/>
      <c r="S275" s="32"/>
    </row>
    <row r="276" spans="1:19">
      <c r="A276" s="29"/>
      <c r="B276" s="29"/>
      <c r="C276" s="29"/>
      <c r="D276" s="29"/>
      <c r="E276" s="29"/>
      <c r="F276" s="29"/>
      <c r="G276" s="29"/>
      <c r="I276" s="29"/>
      <c r="J276" s="29"/>
      <c r="M276" s="30"/>
      <c r="N276" s="30"/>
      <c r="O276" s="32"/>
      <c r="P276" s="32"/>
      <c r="Q276" s="32"/>
      <c r="R276" s="32"/>
      <c r="S276" s="32"/>
    </row>
    <row r="277" spans="1:19">
      <c r="A277" s="29"/>
      <c r="B277" s="29"/>
      <c r="C277" s="29"/>
      <c r="D277" s="29"/>
      <c r="E277" s="29"/>
      <c r="F277" s="29"/>
      <c r="G277" s="29"/>
      <c r="I277" s="29"/>
      <c r="J277" s="29"/>
      <c r="M277" s="30"/>
      <c r="N277" s="30"/>
      <c r="O277" s="32"/>
      <c r="P277" s="32"/>
      <c r="Q277" s="32"/>
      <c r="R277" s="32"/>
      <c r="S277" s="32"/>
    </row>
    <row r="278" spans="1:19">
      <c r="A278" s="29"/>
      <c r="B278" s="29"/>
      <c r="C278" s="29"/>
      <c r="D278" s="29"/>
      <c r="E278" s="29"/>
      <c r="F278" s="29"/>
      <c r="G278" s="29"/>
      <c r="I278" s="29"/>
      <c r="J278" s="29"/>
      <c r="M278" s="30"/>
      <c r="N278" s="30"/>
      <c r="O278" s="32"/>
      <c r="P278" s="32"/>
      <c r="Q278" s="32"/>
      <c r="R278" s="32"/>
      <c r="S278" s="32"/>
    </row>
    <row r="279" spans="1:19">
      <c r="A279" s="29"/>
      <c r="B279" s="29"/>
      <c r="C279" s="29"/>
      <c r="D279" s="29"/>
      <c r="E279" s="29"/>
      <c r="F279" s="29"/>
      <c r="G279" s="29"/>
      <c r="I279" s="29"/>
      <c r="J279" s="29"/>
      <c r="M279" s="30"/>
      <c r="N279" s="30"/>
      <c r="O279" s="32"/>
      <c r="P279" s="32"/>
      <c r="Q279" s="32"/>
      <c r="R279" s="32"/>
      <c r="S279" s="32"/>
    </row>
    <row r="280" spans="1:19">
      <c r="A280" s="29"/>
      <c r="B280" s="29"/>
      <c r="C280" s="29"/>
      <c r="D280" s="29"/>
      <c r="E280" s="29"/>
      <c r="F280" s="29"/>
      <c r="G280" s="29"/>
      <c r="I280" s="29"/>
      <c r="J280" s="29"/>
      <c r="M280" s="30"/>
      <c r="N280" s="30"/>
      <c r="O280" s="32"/>
      <c r="P280" s="32"/>
      <c r="Q280" s="32"/>
      <c r="R280" s="32"/>
      <c r="S280" s="32"/>
    </row>
    <row r="281" spans="1:19">
      <c r="A281" s="29"/>
      <c r="B281" s="29"/>
      <c r="C281" s="29"/>
      <c r="D281" s="29"/>
      <c r="E281" s="29"/>
      <c r="F281" s="29"/>
      <c r="G281" s="29"/>
      <c r="I281" s="29"/>
      <c r="J281" s="29"/>
      <c r="M281" s="30"/>
      <c r="N281" s="30"/>
      <c r="O281" s="32"/>
      <c r="P281" s="32"/>
      <c r="Q281" s="32"/>
      <c r="R281" s="32"/>
      <c r="S281" s="32"/>
    </row>
    <row r="282" spans="1:19">
      <c r="A282" s="29"/>
      <c r="B282" s="29"/>
      <c r="C282" s="29"/>
      <c r="D282" s="29"/>
      <c r="E282" s="29"/>
      <c r="F282" s="29"/>
      <c r="G282" s="29"/>
      <c r="I282" s="29"/>
      <c r="J282" s="29"/>
      <c r="M282" s="30"/>
      <c r="N282" s="30"/>
      <c r="O282" s="32"/>
      <c r="P282" s="32"/>
      <c r="Q282" s="32"/>
      <c r="R282" s="32"/>
      <c r="S282" s="32"/>
    </row>
    <row r="283" spans="1:19">
      <c r="A283" s="29"/>
      <c r="B283" s="29"/>
      <c r="C283" s="29"/>
      <c r="D283" s="29"/>
      <c r="E283" s="29"/>
      <c r="F283" s="29"/>
      <c r="G283" s="29"/>
      <c r="I283" s="29"/>
      <c r="J283" s="29"/>
      <c r="M283" s="30"/>
      <c r="N283" s="30"/>
      <c r="O283" s="32"/>
      <c r="P283" s="32"/>
      <c r="Q283" s="32"/>
      <c r="R283" s="32"/>
      <c r="S283" s="32"/>
    </row>
    <row r="284" spans="1:19">
      <c r="A284" s="29"/>
      <c r="B284" s="29"/>
      <c r="C284" s="29"/>
      <c r="D284" s="29"/>
      <c r="E284" s="29"/>
      <c r="F284" s="29"/>
      <c r="G284" s="29"/>
      <c r="I284" s="29"/>
      <c r="J284" s="29"/>
      <c r="M284" s="30"/>
      <c r="N284" s="30"/>
      <c r="O284" s="32"/>
      <c r="P284" s="32"/>
      <c r="Q284" s="32"/>
      <c r="R284" s="32"/>
      <c r="S284" s="32"/>
    </row>
    <row r="285" spans="1:19">
      <c r="A285" s="29"/>
      <c r="B285" s="29"/>
      <c r="C285" s="29"/>
      <c r="D285" s="29"/>
      <c r="E285" s="29"/>
      <c r="F285" s="29"/>
      <c r="G285" s="29"/>
      <c r="I285" s="29"/>
      <c r="J285" s="29"/>
      <c r="M285" s="30"/>
      <c r="N285" s="30"/>
      <c r="O285" s="32"/>
      <c r="P285" s="32"/>
      <c r="Q285" s="32"/>
      <c r="R285" s="32"/>
      <c r="S285" s="32"/>
    </row>
    <row r="286" spans="1:19">
      <c r="A286" s="29"/>
      <c r="B286" s="29"/>
      <c r="C286" s="29"/>
      <c r="D286" s="29"/>
      <c r="E286" s="29"/>
      <c r="F286" s="29"/>
      <c r="G286" s="29"/>
      <c r="I286" s="29"/>
      <c r="J286" s="29"/>
      <c r="M286" s="30"/>
      <c r="N286" s="30"/>
      <c r="O286" s="32"/>
      <c r="P286" s="32"/>
      <c r="Q286" s="32"/>
      <c r="R286" s="32"/>
      <c r="S286" s="32"/>
    </row>
    <row r="287" spans="1:19">
      <c r="A287" s="29"/>
      <c r="B287" s="29"/>
      <c r="C287" s="29"/>
      <c r="D287" s="29"/>
      <c r="E287" s="29"/>
      <c r="F287" s="29"/>
      <c r="G287" s="29"/>
      <c r="I287" s="29"/>
      <c r="J287" s="29"/>
      <c r="M287" s="30"/>
      <c r="N287" s="30"/>
      <c r="O287" s="32"/>
      <c r="P287" s="32"/>
      <c r="Q287" s="32"/>
      <c r="R287" s="32"/>
      <c r="S287" s="32"/>
    </row>
    <row r="288" spans="1:19">
      <c r="A288" s="29"/>
      <c r="B288" s="29"/>
      <c r="C288" s="29"/>
      <c r="D288" s="29"/>
      <c r="E288" s="29"/>
      <c r="F288" s="29"/>
      <c r="G288" s="29"/>
      <c r="I288" s="29"/>
      <c r="J288" s="29"/>
      <c r="M288" s="30"/>
      <c r="N288" s="30"/>
      <c r="O288" s="32"/>
      <c r="P288" s="32"/>
      <c r="Q288" s="32"/>
      <c r="R288" s="32"/>
      <c r="S288" s="32"/>
    </row>
    <row r="289" spans="1:19">
      <c r="A289" s="29"/>
      <c r="B289" s="29"/>
      <c r="C289" s="29"/>
      <c r="D289" s="29"/>
      <c r="E289" s="29"/>
      <c r="F289" s="29"/>
      <c r="G289" s="29"/>
      <c r="I289" s="29"/>
      <c r="J289" s="29"/>
      <c r="M289" s="30"/>
      <c r="N289" s="30"/>
      <c r="O289" s="32"/>
      <c r="P289" s="32"/>
      <c r="Q289" s="32"/>
      <c r="R289" s="32"/>
      <c r="S289" s="32"/>
    </row>
    <row r="290" spans="1:19">
      <c r="A290" s="29"/>
      <c r="B290" s="29"/>
      <c r="C290" s="29"/>
      <c r="D290" s="29"/>
      <c r="E290" s="29"/>
      <c r="F290" s="29"/>
      <c r="G290" s="29"/>
      <c r="I290" s="29"/>
      <c r="J290" s="29"/>
      <c r="M290" s="30"/>
      <c r="N290" s="30"/>
      <c r="O290" s="32"/>
      <c r="P290" s="32"/>
      <c r="Q290" s="32"/>
      <c r="R290" s="32"/>
      <c r="S290" s="32"/>
    </row>
    <row r="291" spans="1:19">
      <c r="A291" s="29"/>
      <c r="B291" s="29"/>
      <c r="C291" s="29"/>
      <c r="D291" s="29"/>
      <c r="E291" s="29"/>
      <c r="F291" s="29"/>
      <c r="G291" s="29"/>
      <c r="I291" s="29"/>
      <c r="J291" s="29"/>
      <c r="M291" s="30"/>
      <c r="N291" s="30"/>
      <c r="O291" s="32"/>
      <c r="P291" s="32"/>
      <c r="Q291" s="32"/>
      <c r="R291" s="32"/>
      <c r="S291" s="32"/>
    </row>
    <row r="292" spans="1:19">
      <c r="A292" s="29"/>
      <c r="B292" s="29"/>
      <c r="C292" s="29"/>
      <c r="D292" s="29"/>
      <c r="E292" s="29"/>
      <c r="F292" s="29"/>
      <c r="G292" s="29"/>
      <c r="I292" s="29"/>
      <c r="J292" s="29"/>
      <c r="M292" s="30"/>
      <c r="N292" s="30"/>
      <c r="O292" s="32"/>
      <c r="P292" s="32"/>
      <c r="Q292" s="32"/>
      <c r="R292" s="32"/>
      <c r="S292" s="32"/>
    </row>
    <row r="293" spans="1:19">
      <c r="A293" s="29"/>
      <c r="B293" s="29"/>
      <c r="C293" s="29"/>
      <c r="D293" s="29"/>
      <c r="E293" s="29"/>
      <c r="F293" s="29"/>
      <c r="G293" s="29"/>
      <c r="I293" s="29"/>
      <c r="J293" s="29"/>
      <c r="M293" s="30"/>
      <c r="N293" s="30"/>
      <c r="O293" s="32"/>
      <c r="P293" s="32"/>
      <c r="Q293" s="32"/>
      <c r="R293" s="32"/>
      <c r="S293" s="32"/>
    </row>
    <row r="294" spans="1:19">
      <c r="A294" s="29"/>
      <c r="B294" s="29"/>
      <c r="C294" s="29"/>
      <c r="D294" s="29"/>
      <c r="E294" s="29"/>
      <c r="F294" s="29"/>
      <c r="G294" s="29"/>
      <c r="I294" s="29"/>
      <c r="J294" s="29"/>
      <c r="M294" s="30"/>
      <c r="N294" s="30"/>
      <c r="O294" s="32"/>
      <c r="P294" s="32"/>
      <c r="Q294" s="32"/>
      <c r="R294" s="32"/>
      <c r="S294" s="32"/>
    </row>
    <row r="295" spans="1:19">
      <c r="A295" s="29"/>
      <c r="B295" s="29"/>
      <c r="C295" s="29"/>
      <c r="D295" s="29"/>
      <c r="E295" s="29"/>
      <c r="F295" s="29"/>
      <c r="G295" s="29"/>
      <c r="I295" s="29"/>
      <c r="J295" s="29"/>
      <c r="M295" s="30"/>
      <c r="N295" s="30"/>
      <c r="O295" s="32"/>
      <c r="P295" s="32"/>
      <c r="Q295" s="32"/>
      <c r="R295" s="32"/>
      <c r="S295" s="32"/>
    </row>
    <row r="296" spans="1:19">
      <c r="A296" s="29"/>
      <c r="B296" s="29"/>
      <c r="C296" s="29"/>
      <c r="D296" s="29"/>
      <c r="E296" s="29"/>
      <c r="F296" s="29"/>
      <c r="G296" s="29"/>
      <c r="I296" s="29"/>
      <c r="J296" s="29"/>
      <c r="M296" s="30"/>
      <c r="N296" s="30"/>
      <c r="O296" s="32"/>
      <c r="P296" s="32"/>
      <c r="Q296" s="32"/>
      <c r="R296" s="32"/>
      <c r="S296" s="32"/>
    </row>
    <row r="297" spans="1:19">
      <c r="A297" s="29"/>
      <c r="B297" s="29"/>
      <c r="C297" s="29"/>
      <c r="D297" s="29"/>
      <c r="E297" s="29"/>
      <c r="F297" s="29"/>
      <c r="G297" s="29"/>
      <c r="I297" s="29"/>
      <c r="J297" s="29"/>
      <c r="M297" s="30"/>
      <c r="N297" s="30"/>
      <c r="O297" s="32"/>
      <c r="P297" s="32"/>
      <c r="Q297" s="32"/>
      <c r="R297" s="32"/>
      <c r="S297" s="32"/>
    </row>
    <row r="298" spans="1:19">
      <c r="A298" s="29"/>
      <c r="B298" s="29"/>
      <c r="C298" s="29"/>
      <c r="D298" s="29"/>
      <c r="E298" s="29"/>
      <c r="F298" s="29"/>
      <c r="G298" s="29"/>
      <c r="I298" s="29"/>
      <c r="J298" s="29"/>
      <c r="M298" s="30"/>
      <c r="N298" s="30"/>
      <c r="O298" s="32"/>
      <c r="P298" s="32"/>
      <c r="Q298" s="32"/>
      <c r="R298" s="32"/>
      <c r="S298" s="32"/>
    </row>
    <row r="299" spans="1:19">
      <c r="A299" s="29"/>
      <c r="B299" s="29"/>
      <c r="C299" s="29"/>
      <c r="D299" s="29"/>
      <c r="E299" s="29"/>
      <c r="F299" s="29"/>
      <c r="G299" s="29"/>
      <c r="I299" s="29"/>
      <c r="J299" s="29"/>
      <c r="M299" s="30"/>
      <c r="N299" s="30"/>
      <c r="O299" s="32"/>
      <c r="P299" s="32"/>
      <c r="Q299" s="32"/>
      <c r="R299" s="32"/>
      <c r="S299" s="32"/>
    </row>
    <row r="300" spans="1:19">
      <c r="A300" s="29"/>
      <c r="B300" s="2"/>
      <c r="C300" s="2"/>
      <c r="D300" s="2"/>
    </row>
    <row r="301" spans="1:19">
      <c r="A301" s="29"/>
      <c r="B301" s="2"/>
      <c r="C301" s="2"/>
      <c r="D301" s="2"/>
    </row>
    <row r="302" spans="1:19">
      <c r="A302" s="29"/>
      <c r="B302" s="2"/>
      <c r="C302" s="2"/>
      <c r="D302" s="2"/>
    </row>
    <row r="303" spans="1:19">
      <c r="A303" s="29"/>
      <c r="B303" s="2"/>
      <c r="C303" s="2"/>
      <c r="D303" s="2"/>
    </row>
    <row r="304" spans="1:19">
      <c r="A304" s="29"/>
      <c r="B304" s="2"/>
      <c r="C304" s="2"/>
      <c r="D304" s="2"/>
    </row>
    <row r="305" spans="1:1">
      <c r="A305" s="29"/>
    </row>
    <row r="306" spans="1:1">
      <c r="A306" s="29"/>
    </row>
  </sheetData>
  <autoFilter ref="A9:L246" xr:uid="{40A4B7A3-F207-4AF4-8579-95FFC9A7072F}"/>
  <dataConsolidate/>
  <mergeCells count="1">
    <mergeCell ref="B2:C2"/>
  </mergeCells>
  <conditionalFormatting sqref="F10">
    <cfRule type="cellIs" dxfId="36" priority="214" operator="equal">
      <formula>"Fulfilled"</formula>
    </cfRule>
    <cfRule type="cellIs" dxfId="35" priority="215" operator="equal">
      <formula>"Not verified"</formula>
    </cfRule>
    <cfRule type="cellIs" dxfId="34" priority="216" operator="equal">
      <formula>"Fullfilled"</formula>
    </cfRule>
    <cfRule type="cellIs" dxfId="33" priority="217" operator="equal">
      <formula>"N/A"</formula>
    </cfRule>
    <cfRule type="cellIs" dxfId="32" priority="218" operator="equal">
      <formula>"Open"</formula>
    </cfRule>
  </conditionalFormatting>
  <conditionalFormatting sqref="F25:F26">
    <cfRule type="cellIs" dxfId="31" priority="39" operator="equal">
      <formula>"Fulfilled"</formula>
    </cfRule>
    <cfRule type="cellIs" dxfId="30" priority="40" operator="equal">
      <formula>"Not verified"</formula>
    </cfRule>
    <cfRule type="cellIs" dxfId="29" priority="41" operator="equal">
      <formula>"Fullfilled"</formula>
    </cfRule>
    <cfRule type="cellIs" dxfId="28" priority="42" operator="equal">
      <formula>"N/A"</formula>
    </cfRule>
    <cfRule type="cellIs" dxfId="27" priority="43" operator="equal">
      <formula>"Open"</formula>
    </cfRule>
  </conditionalFormatting>
  <conditionalFormatting sqref="F24">
    <cfRule type="cellIs" dxfId="26" priority="34" operator="equal">
      <formula>"Fulfilled"</formula>
    </cfRule>
    <cfRule type="cellIs" dxfId="25" priority="35" operator="equal">
      <formula>"Not verified"</formula>
    </cfRule>
    <cfRule type="cellIs" dxfId="24" priority="36" operator="equal">
      <formula>"Fullfilled"</formula>
    </cfRule>
    <cfRule type="cellIs" dxfId="23" priority="37" operator="equal">
      <formula>"N/A"</formula>
    </cfRule>
    <cfRule type="cellIs" dxfId="22" priority="38" operator="equal">
      <formula>"Open"</formula>
    </cfRule>
  </conditionalFormatting>
  <conditionalFormatting sqref="K61:L310 M61:S299 B61:C65 E61:G65 B66:G299 B44:C59 E44:G59 D44:D65 I10:S58 I59 K59:S59 I61:I84 J59:J84 I85:J299">
    <cfRule type="expression" dxfId="21" priority="30">
      <formula>($B10&lt;&gt;$B11)</formula>
    </cfRule>
    <cfRule type="expression" dxfId="20" priority="31">
      <formula>($B10&lt;&gt;"")</formula>
    </cfRule>
  </conditionalFormatting>
  <conditionalFormatting sqref="B10:G43">
    <cfRule type="expression" dxfId="19" priority="22">
      <formula>($B10&lt;&gt;$B11)</formula>
    </cfRule>
    <cfRule type="expression" dxfId="18" priority="23">
      <formula>($B10&lt;&gt;"")</formula>
    </cfRule>
  </conditionalFormatting>
  <conditionalFormatting sqref="H10:H299">
    <cfRule type="expression" dxfId="17" priority="4">
      <formula>($B10&lt;&gt;$B11)</formula>
    </cfRule>
    <cfRule type="expression" dxfId="16" priority="10">
      <formula>($B10&lt;&gt;"")</formula>
    </cfRule>
  </conditionalFormatting>
  <conditionalFormatting sqref="O8:S8">
    <cfRule type="dataBar" priority="5">
      <dataBar showValue="0">
        <cfvo type="min"/>
        <cfvo type="max"/>
        <color rgb="FF63C384"/>
      </dataBar>
      <extLst>
        <ext xmlns:x14="http://schemas.microsoft.com/office/spreadsheetml/2009/9/main" uri="{B025F937-C7B1-47D3-B67F-A62EFF666E3E}">
          <x14:id>{9539AB88-4F2A-4CB7-BCCB-E840D31820E2}</x14:id>
        </ext>
      </extLst>
    </cfRule>
  </conditionalFormatting>
  <conditionalFormatting sqref="B60:C60 I60 E60:G60 K60:S60">
    <cfRule type="expression" dxfId="15" priority="223">
      <formula>($B60&lt;&gt;#REF!)</formula>
    </cfRule>
    <cfRule type="expression" dxfId="14" priority="224">
      <formula>($B60&lt;&gt;"")</formula>
    </cfRule>
  </conditionalFormatting>
  <conditionalFormatting sqref="H60">
    <cfRule type="expression" dxfId="13" priority="249">
      <formula>($B60&lt;&gt;#REF!)</formula>
    </cfRule>
    <cfRule type="expression" dxfId="12" priority="250">
      <formula>($B60&lt;&gt;"")</formula>
    </cfRule>
  </conditionalFormatting>
  <conditionalFormatting sqref="A10:A306">
    <cfRule type="expression" dxfId="11" priority="1">
      <formula>($B10&lt;&gt;$B11)</formula>
    </cfRule>
    <cfRule type="expression" dxfId="10" priority="2">
      <formula>($B10&lt;&gt;"")</formula>
    </cfRule>
  </conditionalFormatting>
  <hyperlinks>
    <hyperlink ref="K10" r:id="rId1" tooltip="https://learn.microsoft.com/azure/cloud-adoption-framework/ready/landing-zone/design-area/multi-tenant/considerations-recommendations" xr:uid="{93CC6003-CC03-40D7-BA24-12F4BDDEDE73}"/>
    <hyperlink ref="K11" r:id="rId2" tooltip="https://learn.microsoft.com/azure/cloud-adoption-framework/ready/landing-zone/design-area/multi-tenant/automation" xr:uid="{6E96513F-7B8D-4B3B-8C8A-BA5E92684F95}"/>
    <hyperlink ref="K12" r:id="rId3" tooltip="https://learn.microsoft.com/azure/cloud-adoption-framework/ready/landing-zone/design-area/multi-tenant/lighthouse" xr:uid="{BA73BAF3-B8D4-477D-A628-B29D5A8B9FA6}"/>
    <hyperlink ref="K13" r:id="rId4" location="design-recommendations" tooltip="https://learn.microsoft.com/azure/cloud-adoption-framework/ready/landing-zone/design-area/azure-billing-microsoft-customer-agreement#design-recommendations" xr:uid="{228BBC77-BC8F-4679-8617-ABDF77B68354}"/>
    <hyperlink ref="K14" r:id="rId5" location="design-recommendations" tooltip="https://learn.microsoft.com/azure/cloud-adoption-framework/ready/landing-zone/design-area/azure-billing-microsoft-customer-agreement#design-recommendations" xr:uid="{A0442527-A2BA-47D2-8BF0-0B0F2F9E2B9B}"/>
    <hyperlink ref="K15" r:id="rId6" location="design-recommendations" tooltip="https://learn.microsoft.com/azure/cloud-adoption-framework/ready/landing-zone/design-area/azure-billing-microsoft-customer-agreement#design-recommendations" xr:uid="{B36B70EC-0699-4D7D-85B5-CDD0C9B3EDB0}"/>
    <hyperlink ref="K16" r:id="rId7" location="manage-notification-contacts" tooltip="https://learn.microsoft.com/azure/cost-management-billing/manage/direct-ea-administration#manage-notification-contacts" xr:uid="{9D221A04-5526-414D-A6C5-DBCD7181DDD2}"/>
    <hyperlink ref="K17" r:id="rId8" location="design-considerations" tooltip="https://learn.microsoft.com/azure/cloud-adoption-framework/ready/landing-zone/design-area/azure-billing-enterprise-agreement#design-considerations" xr:uid="{505E84A3-D449-4A6D-9918-DC887A6313F2}"/>
    <hyperlink ref="K18" r:id="rId9" location="design-considerations" tooltip="https://learn.microsoft.com/azure/cloud-adoption-framework/ready/landing-zone/design-area/azure-billing-enterprise-agreement#design-considerations" xr:uid="{4A8AFEB5-D568-4D3E-9BDE-6512438FF7FD}"/>
    <hyperlink ref="K20" r:id="rId10" location="design-considerations" tooltip="https://learn.microsoft.com/azure/cloud-adoption-framework/ready/landing-zone/design-area/azure-billing-enterprise-agreement#design-considerations" xr:uid="{78468198-E5CA-47EE-8F80-B4DA668D3438}"/>
    <hyperlink ref="K21" r:id="rId11" location="design-considerations" tooltip="https://learn.microsoft.com/azure/cloud-adoption-framework/ready/landing-zone/design-area/azure-billing-enterprise-agreement#design-considerations" xr:uid="{E927A381-5BA2-4E6B-B9DD-77269C5A9CE5}"/>
    <hyperlink ref="K22" r:id="rId12" location="design-recommendations" tooltip="https://learn.microsoft.com/azure/cloud-adoption-framework/ready/landing-zone/design-area/azure-billing-microsoft-customer-agreement#design-recommendations" xr:uid="{422908ED-2285-48B1-A1E4-BDD2A974E0D5}"/>
    <hyperlink ref="K23" r:id="rId13" tooltip="https://learn.microsoft.com/azure/cost-management-billing/manage/mca-section-invoice" xr:uid="{C16C262F-ED25-4A33-9C64-AF7F6AD00880}"/>
    <hyperlink ref="K24" r:id="rId14" location="design-recommendations" tooltip="https://learn.microsoft.com/azure/cloud-adoption-framework/ready/landing-zone/design-area/azure-billing-microsoft-customer-agreement#design-recommendations" xr:uid="{0CEC9985-B462-4FAD-9EFF-C2DD63A1ADA3}"/>
    <hyperlink ref="K25" r:id="rId15" location="design-recommendations" tooltip="https://learn.microsoft.com/azure/cloud-adoption-framework/ready/landing-zone/design-area/azure-billing-microsoft-customer-agreement#design-recommendations" xr:uid="{9D26BB3C-C3AA-45A2-985E-F3BD71AC6B31}"/>
    <hyperlink ref="K19" r:id="rId16" location="design-considerations" tooltip="https://learn.microsoft.com/azure/cloud-adoption-framework/ready/landing-zone/design-area/azure-billing-enterprise-agreement#design-considerations" xr:uid="{E5479FD9-02BC-425F-BD6A-8A74B7C54042}"/>
    <hyperlink ref="K26" r:id="rId17" location="identity-and-access-management-in-the-azure-landing-zone-accelerator" tooltip="https://learn.microsoft.com/azure/cloud-adoption-framework/ready/landing-zone/design-area/identity-access-landing-zones#identity-and-access-management-in-the-azure-landing-zone-accelerator" xr:uid="{488C6CA2-5DD4-43A1-B766-2584484AEDEA}"/>
    <hyperlink ref="K27" r:id="rId18" tooltip="https://learn.microsoft.com/azure/active-directory/hybrid/how-to-connect-sync-staging-server" xr:uid="{E9086FD8-5E87-4471-A512-AE5FCF58E6BE}"/>
    <hyperlink ref="K28" r:id="rId19" tooltip="https://learn.microsoft.com/azure/active-directory/roles/security-emergency-access" xr:uid="{B1F3DFEC-F164-40E0-851F-BFAE534505AD}"/>
    <hyperlink ref="K29" r:id="rId20" tooltip="https://learn.microsoft.com/azure/active-directory/reports-monitoring/concept-activity-logs-azure-monitor" xr:uid="{6F99F3F6-6749-4BB3-9603-0485E0D4A536}"/>
    <hyperlink ref="K30" r:id="rId21" tooltip="https://learn.microsoft.com/azure/role-based-access-control/overview" xr:uid="{5B931ABC-F3E1-40D1-A445-CCF110EC5A5F}"/>
    <hyperlink ref="K31" r:id="rId22" tooltip="https://learn.microsoft.com/azure/active-directory/conditional-access/overview" xr:uid="{2126A085-5514-4534-9DDB-110BFBE42494}"/>
    <hyperlink ref="K32" r:id="rId23" tooltip="https://learn.microsoft.com/azure/active-directory/authentication/concept-mfa-howitworks" xr:uid="{ACA1A54C-1965-47A7-A5BA-A2F158904F74}"/>
    <hyperlink ref="K33" r:id="rId24" tooltip="https://learn.microsoft.com/azure/cloud-adoption-framework/manage/centralize-operations" xr:uid="{9076F7B6-B909-4FB4-94BC-8B6053135612}"/>
    <hyperlink ref="K34" r:id="rId25" tooltip="https://learn.microsoft.com/azure/active-directory/privileged-identity-management/pim-configure" xr:uid="{47E22997-2F56-4148-B917-06EE35583E86}"/>
    <hyperlink ref="K35" r:id="rId26" location="identify-microsoft-accounts-in-administrative-roles-that-need-to-be-switched-to-work-or-school-accounts" tooltip="https://learn.microsoft.com/azure/active-directory/roles/security-planning#identify-microsoft-accounts-in-administrative-roles-that-need-to-be-switched-to-work-or-school-accounts" xr:uid="{F6C20C84-B221-4A66-868F-CEE58FFB3A62}"/>
    <hyperlink ref="K36" r:id="rId27" tooltip="https://learn.microsoft.com/azure/active-directory/fundamentals/active-directory-groups-create-azure-portal" xr:uid="{C179B872-BD0E-4EE4-9DBE-7374389A4FE6}"/>
    <hyperlink ref="K37" r:id="rId28" location="prerequisites-for-a-landing-zone---design-recommendations" tooltip="https://learn.microsoft.com/azure/cloud-adoption-framework/ready/landing-zone/design-area/identity-access#prerequisites-for-a-landing-zone---design-recommendations" xr:uid="{AAADEB09-EE74-4CFF-B55A-16E74C8061AD}"/>
    <hyperlink ref="K38" r:id="rId29" tooltip="https://learn.microsoft.com/azure/active-directory-domain-services/overview" xr:uid="{FE2B978D-C74E-4685-BDEA-31A46492974C}"/>
    <hyperlink ref="K39" r:id="rId30" tooltip="https://learn.microsoft.com/azure/active-directory-domain-services/overview" xr:uid="{3567CF90-C187-4988-B4FF-CCF0D6C7FFFF}"/>
    <hyperlink ref="K40" r:id="rId31" tooltip="https://learn.microsoft.com/azure/architecture/reference-architectures/identity/adds-extend-domain" xr:uid="{231AC19F-7087-4546-A787-EEC4572C3D68}"/>
    <hyperlink ref="K41" r:id="rId32" tooltip="https://learn.microsoft.com/azure/active-directory/app-proxy/application-proxy" xr:uid="{64511AB2-4641-43A6-813D-99BAAC12B32A}"/>
    <hyperlink ref="K42" r:id="rId33" tooltip="https://learn.microsoft.com/azure/active-directory/roles/best-practices" xr:uid="{3AEA4A22-B5BB-4511-A233-72EEF457FD19}"/>
    <hyperlink ref="K43" r:id="rId34" location="managed-identities" tooltip="https://learn.microsoft.com/azure/cloud-adoption-framework/ready/landing-zone/design-area/identity-access-landing-zones#managed-identities" xr:uid="{B2E2BDCD-75C7-403C-9DEE-6902C5F222E9}"/>
    <hyperlink ref="K44" r:id="rId35" location="rbac-recommendations" tooltip="https://learn.microsoft.com/azure/cloud-adoption-framework/ready/landing-zone/design-area/identity-access-landing-zones#rbac-recommendations" xr:uid="{694D466D-D72C-4200-9B15-F331FF243390}"/>
    <hyperlink ref="K45" r:id="rId36" tooltip="https://learn.microsoft.com/azure/active-directory/privileged-identity-management/pim-create-roles-and-resource-roles-review" xr:uid="{253E4C2F-C887-4B81-8BE0-30322F71C8E6}"/>
    <hyperlink ref="K47" r:id="rId37" tooltip="https://learn.microsoft.com/azure/cloud-adoption-framework/ready/landing-zone/design-area/resource-org-management-groups" xr:uid="{72A689F0-C8A8-4D33-B754-77A3290A71EA}"/>
    <hyperlink ref="K48" r:id="rId38" location="management-group-recommendations" tooltip="https://learn.microsoft.com/azure/cloud-adoption-framework/ready/landing-zone/design-area/resource-org-management-groups#management-group-recommendations" xr:uid="{5EC20A4B-9D07-437D-AD65-D13CCAF24FB1}"/>
    <hyperlink ref="K49" r:id="rId39" location="management-group-recommendations" tooltip="https://learn.microsoft.com/azure/cloud-adoption-framework/ready/landing-zone/design-area/resource-org-management-groups#management-group-recommendations" xr:uid="{010B0C91-AD73-466C-B186-B983E17D63E7}"/>
    <hyperlink ref="K50" r:id="rId40" location="management-group-recommendations" tooltip="https://learn.microsoft.com/azure/cloud-adoption-framework/ready/landing-zone/design-area/resource-org-management-groups#management-group-recommendations" xr:uid="{E2754546-A18D-4A79-AD03-CBD8FDA1C74E}"/>
    <hyperlink ref="K51" r:id="rId41" location="setting---default-management-group" tooltip="https://learn.microsoft.com/azure/governance/management-groups/how-to/protect-resource-hierarchy#setting---default-management-group" xr:uid="{039C314A-E9CB-46D0-A391-74A3343EA0FF}"/>
    <hyperlink ref="K52" r:id="rId42" location="setting---require-authorization" tooltip="https://learn.microsoft.com/azure/governance/management-groups/how-to/protect-resource-hierarchy#setting---require-authorization" xr:uid="{95F7A5D1-23F5-4DAA-AB2C-27414C2D858C}"/>
    <hyperlink ref="K53" r:id="rId43" tooltip="https://learn.microsoft.com/azure/governance/management-groups/overview" xr:uid="{6C3059D2-6775-4B2F-A53D-FCA2066E760C}"/>
    <hyperlink ref="K54" r:id="rId44" tooltip="https://learn.microsoft.com/azure/governance/management-groups/overview" xr:uid="{C195CCC1-4E00-4999-A8CE-F83E93E90455}"/>
    <hyperlink ref="K55" r:id="rId45" tooltip="https://learn.microsoft.com/azure/azure-resource-manager/management/azure-subscription-service-limits" xr:uid="{8582436A-3E90-4D65-A103-2F7A5D96620F}"/>
    <hyperlink ref="K56" r:id="rId46" tooltip="https://learn.microsoft.com/azure/cost-management-billing/reservations/save-compute-costs-reservations" xr:uid="{2CC35669-3F85-4D8C-8CF1-BB9108A03553}"/>
    <hyperlink ref="K57" r:id="rId47" tooltip="https://learn.microsoft.com/azure/architecture/framework/scalability/design-capacity" xr:uid="{097D6AFB-8FDF-456B-8DE4-002A02639E3B}"/>
    <hyperlink ref="K58" r:id="rId48" tooltip="https://learn.microsoft.com/azure/cost-management-billing/cost-management-billing-overview" xr:uid="{572C7D51-D3F6-4964-8889-B6AE4DA3F4CA}"/>
    <hyperlink ref="K59" r:id="rId49" tooltip="https://learn.microsoft.com/azure/governance/management-groups/overview" xr:uid="{EB5C7937-CB8B-4C5A-9A43-58800CCD957B}"/>
    <hyperlink ref="K60" r:id="rId50" tooltip="https://learn.microsoft.com/azure/cloud-adoption-framework/ready/azure-best-practices/track-costs" xr:uid="{094B325A-8281-48F4-B50A-8B5BBAB09C35}"/>
    <hyperlink ref="K61" r:id="rId51" tooltip="https://learn.microsoft.com/azure/cloud-adoption-framework/ready/azure-setup-guide/regions" xr:uid="{38D86C10-079A-4F51-A9D5-9951D0AE08D7}"/>
    <hyperlink ref="K62" r:id="rId52" location="operate-in-multiple-geographic-regions" tooltip="https://learn.microsoft.com/en-us/azure/cloud-adoption-framework/ready/azure-setup-guide/regions#operate-in-multiple-geographic-regions" xr:uid="{48CBBF5D-D77D-40EF-8102-730E5B31587E}"/>
    <hyperlink ref="K64" r:id="rId53" tooltip="https://learn.microsoft.com/azure/cloud-adoption-framework/ready/azure-best-practices/plan-for-app-delivery" xr:uid="{95BFCBF5-24DB-497B-95B3-652F769E3F44}"/>
    <hyperlink ref="K65" r:id="rId54" location="management-groups-in-the-azure-landing-zone-accelerator" tooltip="https://learn.microsoft.com/azure/cloud-adoption-framework/ready/landing-zone/design-area/resource-org-management-groups#management-groups-in-the-azure-landing-zone-accelerator" xr:uid="{B9A634DE-3940-4FBA-9DB5-84BBAFC6476B}"/>
    <hyperlink ref="K66" r:id="rId55" tooltip="https://learn.microsoft.com/azure/web-application-firewall/ag/ag-overview" xr:uid="{A6FD52E0-47AE-4F34-87CE-A4F5BF481BD1}"/>
    <hyperlink ref="K67" r:id="rId56" tooltip="https://learn.microsoft.com/azure/virtual-network/network-security-group-how-it-works" xr:uid="{2FFE7188-A87E-4393-B15F-FCF6E68CDD2C}"/>
    <hyperlink ref="K68" r:id="rId57" tooltip="https://learn.microsoft.com/azure/expressroute/expressroute-erdirect-about" xr:uid="{8166198E-B9D6-4866-BF9E-FD6F001EAA95}"/>
    <hyperlink ref="K69" r:id="rId58" tooltip="https://learn.microsoft.com/azure/cloud-adoption-framework/ready/enterprise-scale/network-topology-and-connectivity" xr:uid="{62DD172E-E8B1-4574-AF43-FE8DDA769C44}"/>
    <hyperlink ref="K70" r:id="rId59" tooltip="https://learn.microsoft.com/azure/architecture/reference-architectures/hybrid-networking/expressroute" xr:uid="{135A6B73-D539-4C9E-B5CF-9A40D41A2821}"/>
    <hyperlink ref="K71" r:id="rId60" tooltip="https://learn.microsoft.com/azure/architecture/reference-architectures/dmz/nva-ha" xr:uid="{D3DC4664-4730-4405-9FE2-1E8947179032}"/>
    <hyperlink ref="K72" r:id="rId61" location="to-enable-transit-routing-between-expressroute-and-azure-vpn" tooltip="https://learn.microsoft.com/azure/expressroute/expressroute-howto-coexist-resource-manager#to-enable-transit-routing-between-expressroute-and-azure-vpn" xr:uid="{9CA9B12B-7E1E-4230-B0BB-98F843803B38}"/>
    <hyperlink ref="K73" r:id="rId62" location="create-a-route-server-1" tooltip="https://learn.microsoft.com/azure/route-server/quickstart-configure-route-server-portal#create-a-route-server-1" xr:uid="{6892E0BD-4E2E-46FA-929C-13B9DB386D86}"/>
    <hyperlink ref="K74" r:id="rId63" location="can-i-create-a-peering-connection-to-a-vnet-in-a-different-region" tooltip="https://learn.microsoft.com/azure/virtual-network/virtual-networks-faq#can-i-create-a-peering-connection-to-a-vnet-in-a-different-region" xr:uid="{DF72FD39-82F6-4938-AFBA-16931D94C039}"/>
    <hyperlink ref="K75" r:id="rId64" tooltip="https://learn.microsoft.com/azure/azure-monitor/insights/network-insights-overview" xr:uid="{7AFA5395-1E9D-4150-AF51-B247F59E783E}"/>
    <hyperlink ref="K76" r:id="rId65" location="azure-resource-manager-virtual-networking-limits" tooltip="https://learn.microsoft.com/azure/azure-resource-manager/management/azure-subscription-service-limits?toc=/azure/virtual-network/toc.json#azure-resource-manager-virtual-networking-limits" xr:uid="{8899BFE6-712B-447A-9B27-2BBAE191D988}"/>
    <hyperlink ref="K77" r:id="rId66" location="azure-resource-manager-virtual-networking-limits" tooltip="https://learn.microsoft.com/azure/azure-resource-manager/management/azure-subscription-service-limits?toc=/azure/virtual-network/toc.json#azure-resource-manager-virtual-networking-limits" xr:uid="{31C11A4B-9329-4D0E-B4AE-493A52F1222C}"/>
    <hyperlink ref="K78" r:id="rId67" tooltip="https://learn.microsoft.com/azure/virtual-network/virtual-network-manage-peering" xr:uid="{59038A1A-DEB3-4D4F-B6C1-62AF8C78251F}"/>
    <hyperlink ref="K79" r:id="rId68" tooltip="https://learn.microsoft.com/azure/architecture/reference-architectures/hybrid-networking/hub-spoke?tabs=cli" xr:uid="{1AFA657B-BE8D-4857-A819-52DB5D503AB9}"/>
    <hyperlink ref="K80" r:id="rId69" tooltip="https://learn.microsoft.com/azure/expressroute/expressroute-routing" xr:uid="{3A287CFD-4C9E-4C01-A158-6D0A3E236F8A}"/>
    <hyperlink ref="K81" r:id="rId70" tooltip="https://learn.microsoft.com/azure/expressroute/expressroute-routing" xr:uid="{DDFCEE25-BDFE-45B6-99D0-4DD061DC8CAD}"/>
    <hyperlink ref="K82" r:id="rId71" tooltip="https://learn.microsoft.com/azure/expressroute/plan-manage-cost" xr:uid="{7FC1BF85-A743-4657-835F-46D5BBC09222}"/>
    <hyperlink ref="K83" r:id="rId72" location="expressroute-local" tooltip="https://learn.microsoft.com/azure/expressroute/expressroute-faqs#expressroute-local" xr:uid="{98B332D0-EC7F-42EE-B66A-81444C968FD4}"/>
    <hyperlink ref="K84" r:id="rId73" tooltip="https://learn.microsoft.com/azure/expressroute/expressroute-about-virtual-network-gateways" xr:uid="{26359530-FF16-4BCC-905A-072200D7CCFD}"/>
    <hyperlink ref="K85" r:id="rId74" tooltip="https://learn.microsoft.com/azure/networking/" xr:uid="{84A91067-ADA6-483E-9BA0-230E1F5CB64D}"/>
    <hyperlink ref="K86" r:id="rId75" tooltip="https://learn.microsoft.com/azure/expressroute/about-fastpath" xr:uid="{37879A25-5DDD-4A5D-8137-F53BFF98C3B8}"/>
    <hyperlink ref="K87" r:id="rId76" tooltip="https://learn.microsoft.com/azure/vpn-gateway/create-zone-redundant-vnet-gateway" xr:uid="{62CE6B9F-DDC2-45BB-9F14-DAA22F05EDEA}"/>
    <hyperlink ref="K88" r:id="rId77" tooltip="https://learn.microsoft.com/azure/expressroute/expressroute-erdirect-about" xr:uid="{776DAA33-3115-4361-BBCD-866C4F8A43C5}"/>
    <hyperlink ref="K89" r:id="rId78" tooltip="https://learn.microsoft.com/azure/architecture/framework/services/networking/expressroute/reliability" xr:uid="{6434601F-0925-460E-9B0D-CB6D82572B61}"/>
    <hyperlink ref="K90" r:id="rId79" tooltip="https://learn.microsoft.com/azure/expressroute/expressroute-monitoring-metrics-alerts" xr:uid="{21B135CC-9761-4ED9-A35F-145ABDD20183}"/>
    <hyperlink ref="K91" r:id="rId80" tooltip="https://learn.microsoft.com/azure/expressroute/how-to-configure-connection-monitor" xr:uid="{10084C90-7104-463D-A24B-5AEF3F61BC11}"/>
    <hyperlink ref="K92" r:id="rId81" location="challenges-of-using-multiple-expressroute-circuits" tooltip="https://learn.microsoft.com/azure/expressroute/designing-for-disaster-recovery-with-expressroute-privatepeering#challenges-of-using-multiple-expressroute-circuits" xr:uid="{66374E02-6DBE-4428-A7F6-092329880C14}"/>
    <hyperlink ref="K93" r:id="rId82" location="vm-recommendations" tooltip="https://learn.microsoft.com/azure/architecture/reference-architectures/identity/adds-extend-domain#vm-recommendations" xr:uid="{DCCE2662-758F-4695-9BF2-BE9329514C8E}"/>
    <hyperlink ref="K94" r:id="rId83" tooltip="https://learn.microsoft.com/azure/cloud-adoption-framework/ready/azure-best-practices/plan-for-ip-addressing" xr:uid="{1AC4C8FF-8734-4004-BCCB-BD8FAD948889}"/>
    <hyperlink ref="K95" r:id="rId84" tooltip="https://learn.microsoft.com/azure/cloud-adoption-framework/ready/azure-best-practices/plan-for-ip-addressing" xr:uid="{E8D06FBC-7804-43F5-889D-17040EB14DCA}"/>
    <hyperlink ref="K96" r:id="rId85" tooltip="https://learn.microsoft.com/azure/cloud-adoption-framework/ready/azure-best-practices/plan-for-ip-addressing" xr:uid="{7C631A1D-02DC-4391-A473-8DBEF2F54FED}"/>
    <hyperlink ref="K97" r:id="rId86" location="retain-ip-addresses" tooltip="https://learn.microsoft.com/azure/site-recovery/concepts-on-premises-to-azure-networking#retain-ip-addresses" xr:uid="{30A8114A-D8C2-4896-9F45-E021E8DF0D49}"/>
    <hyperlink ref="K98" r:id="rId87" tooltip="https://learn.microsoft.com/azure/virtual-network/virtual-networks-name-resolution-for-vms-and-role-instances" xr:uid="{BC9ABA03-43BE-4496-9603-645E1C0A5EC1}"/>
    <hyperlink ref="K99" r:id="rId88" tooltip="https://learn.microsoft.com/azure/dns/dns-private-resolver-overview" xr:uid="{B4DEFFC2-FEE2-4C63-A046-6CBD51284B51}"/>
    <hyperlink ref="K100" r:id="rId89" tooltip="https://learn.microsoft.com/azure/virtual-network/virtual-networks-name-resolution-for-vms-and-role-instances" xr:uid="{F07D6D4D-8F53-4FC0-9B6B-3DA75B1F380B}"/>
    <hyperlink ref="K101" r:id="rId90" tooltip="https://learn.microsoft.com/azure/dns/private-dns-autoregistration" xr:uid="{5229EA24-9CD7-4114-9397-CC0B5172337F}"/>
    <hyperlink ref="K102" r:id="rId91" tooltip="https://learn.microsoft.com/azure/bastion/bastion-overview" xr:uid="{22A368BB-0FD3-44D0-B752-6964EF1F00DD}"/>
    <hyperlink ref="K103" r:id="rId92" location="subnet" tooltip="https://learn.microsoft.com/azure/bastion/bastion-faq#subnet" xr:uid="{0CD8CD5D-4EEA-4659-9BF5-62B657C8F693}"/>
    <hyperlink ref="K104" r:id="rId93" tooltip="https://learn.microsoft.com/azure/app-service/networking-features" xr:uid="{022136D8-373D-456B-94F7-F11C180503F9}"/>
    <hyperlink ref="K105" r:id="rId94" tooltip="https://learn.microsoft.com/azure/firewall/" xr:uid="{7474E3E2-A7B4-4CE1-AA36-FEA5E6E8E2BE}"/>
    <hyperlink ref="K106" r:id="rId95" tooltip="https://learn.microsoft.com/azure/firewall/" xr:uid="{9C0DA23A-2C87-4C5D-A5CF-C81C08603351}"/>
    <hyperlink ref="K107" r:id="rId96" tooltip="https://learn.microsoft.com/azure/web-application-firewall/afds/afds-overview" xr:uid="{9CBC4057-9FBF-4B73-87B7-B6CDFE4499D5}"/>
    <hyperlink ref="K108" r:id="rId97" tooltip="https://learn.microsoft.com/azure/web-application-firewall/ag/ag-overview" xr:uid="{0FB691E4-CFA8-4084-9BDD-9EC0323904C0}"/>
    <hyperlink ref="K109" r:id="rId98" tooltip="https://learn.microsoft.com/azure/web-application-firewall/ag/ag-overview" xr:uid="{E4CF4B38-B002-40C0-B7A3-13298137BEE5}"/>
    <hyperlink ref="K110" r:id="rId99" tooltip="https://learn.microsoft.com/azure/ddos-protection/ddos-protection-reference-architectures" xr:uid="{3C609B16-4390-49AF-B36E-59D349DF7ED0}"/>
    <hyperlink ref="K111" r:id="rId100" tooltip="https://learn.microsoft.com/azure/firewall/fqdn-filtering-network-rules" xr:uid="{15B77363-4477-45F7-9FCE-E19368CBBC06}"/>
    <hyperlink ref="K112" r:id="rId101" tooltip="https://learn.microsoft.com/azure/firewall/premium-features" xr:uid="{985E7D8F-97B2-4AD1-B2DA-455A90BC8017}"/>
    <hyperlink ref="K113" r:id="rId102" tooltip="https://learn.microsoft.com/azure/firewall/premium-features" xr:uid="{A044F49E-E1BF-4440-A682-264C275D36B3}"/>
    <hyperlink ref="K114" r:id="rId103" location="idps" tooltip="https://learn.microsoft.com/azure/firewall/premium-features#idps" xr:uid="{FEFFA331-7CC1-47E5-B2CD-8B2CFB15A17D}"/>
    <hyperlink ref="K115" r:id="rId104" tooltip="https://learn.microsoft.com/azure/virtual-network/virtual-networks-udr-overview" xr:uid="{EB44E6AB-5F1C-4F87-9B98-3D281EF228CB}"/>
    <hyperlink ref="K116" r:id="rId105" tooltip="https://learn.microsoft.com/en-us/azure/virtual-network/ip-services/default-outbound-access" xr:uid="{25EDE0AE-32D0-42F5-B3D6-BC57FC4A6FAA}"/>
    <hyperlink ref="K117" r:id="rId106" tooltip="https://learn.microsoft.com/azure/virtual-network/vnet-integration-for-azure-services" xr:uid="{08DD17C3-119A-4E8E-A8DE-FF2AE0950401}"/>
    <hyperlink ref="K118" r:id="rId107" tooltip="https://learn.microsoft.com/azure/app-service/networking-features" xr:uid="{D897FE84-09AE-473A-A341-70E3D0396C16}"/>
    <hyperlink ref="K119" r:id="rId108" tooltip="https://learn.microsoft.com/azure/app-service/networking-features" xr:uid="{C9713C0D-B716-49E8-BEF0-57243DC3DF60}"/>
    <hyperlink ref="K120" r:id="rId109" tooltip="https://learn.microsoft.com/azure/app-service/networking-features" xr:uid="{97578265-5149-48F9-B22F-E2319D5909D9}"/>
    <hyperlink ref="L68" r:id="rId110" tooltip="https://learn.microsoft.com/learn/paths/implement-network-security/" xr:uid="{32288645-D892-4531-A5CF-174CA1CB18E4}"/>
    <hyperlink ref="L96" r:id="rId111" tooltip="https://learn.microsoft.com/learn/paths/architect-network-infrastructure/" xr:uid="{7F595BEC-43DB-40C6-B3FC-B945BD59828F}"/>
    <hyperlink ref="L97" r:id="rId112" tooltip="https://learn.microsoft.com/learn/paths/az-104-manage-virtual-networks/" xr:uid="{4AEA6F35-30EA-4BDA-B107-53C9C74C56A1}"/>
    <hyperlink ref="L98" r:id="rId113" tooltip="https://learn.microsoft.com/learn/paths/az-104-manage-virtual-networks/" xr:uid="{B2092247-4F38-4A11-A5A0-C0E10191BF18}"/>
    <hyperlink ref="L117" r:id="rId114" tooltip="https://learn.microsoft.com/learn/paths/implement-network-security/?source=learn" xr:uid="{EE27FDD3-5B96-4F9F-AF8E-07BD69B5902A}"/>
    <hyperlink ref="K121" r:id="rId115" tooltip="https://learn.microsoft.com/azure/app-service/networking-features" xr:uid="{38292494-9595-4B36-BAA4-AB9FC41AA35D}"/>
    <hyperlink ref="K122" r:id="rId116" location="why-does-azure-firewall-need-a--26-subnet-size" tooltip="https://learn.microsoft.com/azure/firewall/firewall-faq#why-does-azure-firewall-need-a--26-subnet-size" xr:uid="{78A0B359-DAE0-4ED6-A9C1-22B343974F9E}"/>
    <hyperlink ref="K123" r:id="rId117" location="add-a-gateway" tooltip="https://learn.microsoft.com/azure/expressroute/expressroute-howto-add-gateway-resource-manager#add-a-gateway" xr:uid="{9C8DB216-B3DE-4D8C-9718-4F74060DC96A}"/>
    <hyperlink ref="K124" r:id="rId118" location="available-service-tags" tooltip="https://learn.microsoft.com/azure/virtual-network/service-tags-overview#available-service-tags" xr:uid="{9BDB2086-DB65-4965-9469-1AF2DF6B406E}"/>
    <hyperlink ref="K125" r:id="rId119" tooltip="https://learn.microsoft.com/azure/cloud-adoption-framework/ready/azure-best-practices/plan-for-landing-zone-network-segmentation" xr:uid="{01D0A181-837C-4C8B-8D09-0EF99B5A0DDD}"/>
    <hyperlink ref="K126" r:id="rId120" tooltip="https://learn.microsoft.com/azure/web-application-firewall/ag/ag-overview" xr:uid="{77E02D53-0C45-469A-9F7F-7CB052817C32}"/>
    <hyperlink ref="L127" r:id="rId121" tooltip="https://learn.microsoft.com/learn/paths/implement-network-security/" xr:uid="{9C10B0CC-AA11-4793-8F33-AC3C384DAB34}"/>
    <hyperlink ref="K128" r:id="rId122" tooltip="https://learn.microsoft.com/azure/virtual-network/network-security-group-how-it-works" xr:uid="{AA232881-D8E1-4B1F-BCFA-C04862C6E938}"/>
    <hyperlink ref="L128" r:id="rId123" tooltip="https://learn.microsoft.com/learn/paths/implement-network-security/" xr:uid="{F9E6DE49-D489-4818-9860-57E42B53B68F}"/>
    <hyperlink ref="K129" r:id="rId124" tooltip="https://learn.microsoft.com/azure/virtual-network/network-security-group-how-it-works" xr:uid="{3CDE6068-60AA-433B-8318-A122CE6D8D23}"/>
    <hyperlink ref="K130" r:id="rId125" tooltip="https://learn.microsoft.com/azure/virtual-wan/scenario-any-to-any" xr:uid="{D2483C50-1FEC-441A-95D3-89E7F8E3A370}"/>
    <hyperlink ref="K131" r:id="rId126" tooltip="https://learn.microsoft.com/azure/virtual-wan/virtual-wan-about" xr:uid="{2995C924-0F05-49DA-AC62-99FE86226E91}"/>
    <hyperlink ref="K132" r:id="rId127" tooltip="https://learn.microsoft.com/azure/virtual-wan/virtual-wan-about" xr:uid="{372D42A9-14AB-4FDA-9277-37FAC2951D44}"/>
    <hyperlink ref="K133" r:id="rId128" tooltip="https://learn.microsoft.com/azure/virtual-wan/virtual-wan-about" xr:uid="{D025418B-1CCD-4542-8922-FC285F25695E}"/>
    <hyperlink ref="K134" r:id="rId129" tooltip="https://learn.microsoft.com/azure/azure-resource-manager/management/azure-subscription-service-limits" xr:uid="{9099C835-A7A9-4FEC-993C-9AB80125DC66}"/>
    <hyperlink ref="K135" r:id="rId130" tooltip="https://learn.microsoft.com/azure/virtual-wan/azure-monitor-insights" xr:uid="{FE186C28-4616-4FE4-8DDD-F2B0036E0CF7}"/>
    <hyperlink ref="K136" r:id="rId131" location="is-branch-to-branch-connectivity-allowed-in-virtual-wan" tooltip="https://learn.microsoft.com/azure/virtual-wan/virtual-wan-faq#is-branch-to-branch-connectivity-allowed-in-virtual-wan" xr:uid="{17DCA6FA-076F-4FBB-9FEE-B9F8391A1AE0}"/>
    <hyperlink ref="K137" r:id="rId132" tooltip="https://learn.microsoft.com/azure/virtual-wan/about-virtual-hub-routing-preference" xr:uid="{0A3564D2-6A9D-4CA9-8E7B-17EEF6CFBD68}"/>
    <hyperlink ref="K138" r:id="rId133" location="labels" tooltip="https://learn.microsoft.com/azure/virtual-wan/about-virtual-hub-routing#labels" xr:uid="{B3D7F559-D535-449A-9BEA-A51DF760DE18}"/>
    <hyperlink ref="K139" r:id="rId134" location="what-is-the-recommended-hub-address-space-during-hub-creation" tooltip="https://learn.microsoft.com/azure/virtual-wan/virtual-wan-faq#what-is-the-recommended-hub-address-space-during-hub-creation" xr:uid="{EA8C8AFF-D508-415A-967F-ABB26D308201}"/>
    <hyperlink ref="K140" r:id="rId135" tooltip="https://learn.microsoft.com/azure/governance/policy/overview" xr:uid="{FEED51AA-1EFB-444C-9E02-40119BA5487B}"/>
    <hyperlink ref="K141" r:id="rId136" tooltip="https://learn.microsoft.com/azure/cloud-adoption-framework/ready/azure-best-practices/naming-and-tagging" xr:uid="{B63005A9-B634-4F76-B167-6B3C7C50437F}"/>
    <hyperlink ref="K142" r:id="rId137" tooltip="https://learn.microsoft.com/azure/governance/policy/overview" xr:uid="{7ACBF382-4DB4-48B5-AE32-37F15D62329B}"/>
    <hyperlink ref="K143" r:id="rId138" tooltip="https://learn.microsoft.com/azure/governance/policy/overview" xr:uid="{15DC9229-D80D-4073-86F3-696A0E31EA47}"/>
    <hyperlink ref="K145" r:id="rId139" location="am-2-use-only-approved-services" tooltip="https://learn.microsoft.com/security/benchmark/azure/mcsb-asset-management#am-2-use-only-approved-services" xr:uid="{A1BF261A-8D70-4034-AEE8-F8957023B5BB}"/>
    <hyperlink ref="K146" r:id="rId140" tooltip="https://learn.microsoft.com/azure/governance/policy/overview" xr:uid="{F8125A5E-DD7F-47A1-8D66-821D086B0C93}"/>
    <hyperlink ref="K147" r:id="rId141" location="azure-rbac-permissions-in-azure-policy" tooltip="https://learn.microsoft.com/azure/governance/policy/overview#azure-rbac-permissions-in-azure-policy" xr:uid="{B2AA6460-0B1A-40EC-9DBD-8F309D82A6CB}"/>
    <hyperlink ref="K148" r:id="rId142" tooltip="https://learn.microsoft.com/azure/governance/policy/overview" xr:uid="{16E2A5F7-0E2A-4218-A52D-BF506511952A}"/>
    <hyperlink ref="K149" r:id="rId143" tooltip="https://azure.microsoft.com/resources/achieving-compliant-data-residency-and-security-with-azure/" xr:uid="{2C390FA5-7CA0-4957-8611-47D20406D93A}"/>
    <hyperlink ref="K150" r:id="rId144" tooltip="https://learn.microsoft.com/azure/automation/automation-solution-vm-management-config" xr:uid="{DDF11AE7-B1EE-48FF-B948-D4C26691ADEA}"/>
    <hyperlink ref="K151" r:id="rId145" tooltip="https://learn.microsoft.com/azure/virtual-machine-scale-sets/overview" xr:uid="{1EAE3529-93CA-4825-BC86-E09824DF7812}"/>
    <hyperlink ref="K152" r:id="rId146" tooltip="https://learn.microsoft.com/azure/cost-management-billing/costs/tutorial-acm-create-budgets?bc=%2Fazure%2Fcloud-adoption-framework%2F_bread%2Ftoc.json&amp;toc=%2Fazure%2Fcloud-adoption-framework%2Ftoc.json" xr:uid="{0CF6AF84-CA61-4079-B162-E634C4A5C690}"/>
    <hyperlink ref="K153" r:id="rId147" location="add-diagnostic-settings-to-save-your-wafs-logs" tooltip="https://learn.microsoft.com/azure/web-application-firewall/afds/waf-front-door-best-practices#add-diagnostic-settings-to-save-your-wafs-logs" xr:uid="{7AC1FC33-1C88-4301-8DB7-FC119AEBC36A}"/>
    <hyperlink ref="K154" r:id="rId148" location="send-logs-to-microsoft-sentinel" tooltip="https://learn.microsoft.com/azure/web-application-firewall/afds/waf-front-door-best-practices#send-logs-to-microsoft-sentinel" xr:uid="{1B9D821E-CF0B-4145-9057-2A5BB3D92E8A}"/>
    <hyperlink ref="K155" r:id="rId149" tooltip="https://learn.microsoft.com/azure/reliability/cross-region-replication-azure" xr:uid="{C3F3DBC1-F47C-4765-9EFB-DD2F7CA96778}"/>
    <hyperlink ref="K156" r:id="rId150" tooltip="https://learn.microsoft.com/azure/storage/common/storage-redundancy" xr:uid="{082DD674-2A07-4E7D-BC4B-5542AF600BBB}"/>
    <hyperlink ref="K157" r:id="rId151" tooltip="https://learn.microsoft.com/azure/azure-monitor/logs/design-logs-deployment" xr:uid="{5B40BC94-3BD1-4AFA-A540-49C0E0299631}"/>
    <hyperlink ref="K159" r:id="rId152" location="how-retention-and-archiving-work" tooltip="https://learn.microsoft.com/azure/azure-monitor/logs/data-retention-archive?tabs=portal-1%2Cportal-2#how-retention-and-archiving-work" xr:uid="{30D4BE44-C7FD-44C1-8078-D78DF0C5DD74}"/>
    <hyperlink ref="K160" r:id="rId153" tooltip="https://learn.microsoft.com/en-us/azure/cloud-adoption-framework/govern/policy-compliance/regulatory-compliance" xr:uid="{71296DA1-6287-4CBD-8E76-88BA01B88001}"/>
    <hyperlink ref="K161" r:id="rId154" tooltip="https://learn.microsoft.com/azure/governance/policy/how-to/guest-configuration-create" xr:uid="{D604DA94-EEFB-491E-84F6-A110375F48AD}"/>
    <hyperlink ref="K162" r:id="rId155" tooltip="https://learn.microsoft.com/azure/automation/update-management/overview" xr:uid="{517D3DC7-3BCF-4B44-8BC9-A3D50A80F5B0}"/>
    <hyperlink ref="K163" r:id="rId156" tooltip="https://learn.microsoft.com/azure/network-watcher/network-watcher-monitoring-overview" xr:uid="{5732A7E5-2331-4FA1-A0DB-40C51E1272F8}"/>
    <hyperlink ref="K164" r:id="rId157" tooltip="https://learn.microsoft.com/azure/azure-resource-manager/management/lock-resources?tabs=json" xr:uid="{80F11B9E-EF62-4535-90C6-4CA286F7C4E7}"/>
    <hyperlink ref="K165" r:id="rId158" tooltip="https://learn.microsoft.com/azure/governance/policy/overview" xr:uid="{95528A10-98AF-4477-89B0-6828DD13193F}"/>
    <hyperlink ref="K166" r:id="rId159" tooltip="https://learn.microsoft.com/azure/service-health/alerts-activity-log-service-notifications-portal" xr:uid="{731632BD-E291-4532-8492-755164DE5D1F}"/>
    <hyperlink ref="K167" r:id="rId160" tooltip="https://learn.microsoft.com/azure/azure-monitor/alerts/action-groups" xr:uid="{3B1ABD80-4BF9-4248-BC20-7F4A1DB23A89}"/>
    <hyperlink ref="K168" r:id="rId161" tooltip="https://learn.microsoft.com/azure/sentinel/quickstart-onboard" xr:uid="{0142C6E7-D0F1-4756-82AD-97092DD4CDEC}"/>
    <hyperlink ref="K170" r:id="rId162" tooltip="https://learn.microsoft.com/azure/cloud-adoption-framework/ready/azure-setup-guide/monitoring-reporting?tabs=AzureMonitor" xr:uid="{B5B1A4E4-C2F8-4EAD-9B5A-61B4F7F4D059}"/>
    <hyperlink ref="K171" r:id="rId163" tooltip="https://learn.microsoft.com/azure/azure-monitor/agents/diagnostics-extension-overview" xr:uid="{7CDFDDC4-8809-4BD2-A18F-587BC23058E5}"/>
    <hyperlink ref="K172" r:id="rId164" tooltip="https://learn.microsoft.com/azure/azure-monitor/alerts/alerts-overview" xr:uid="{4A43C60D-B903-4E12-9178-E0F119A665C0}"/>
    <hyperlink ref="K173" r:id="rId165" tooltip="https://learn.microsoft.com/azure/architecture/best-practices/monitoring" xr:uid="{E9577174-CF55-4ACB-A3EE-9A57224D88C4}"/>
    <hyperlink ref="K174" r:id="rId166" tooltip="https://learn.microsoft.com/azure/automation/how-to/region-mappings" xr:uid="{38734702-BD3F-4D6A-A5CC-55B7CA23D805}"/>
    <hyperlink ref="K175" r:id="rId167" tooltip="https://learn.microsoft.com/azure/governance/policy/concepts/guest-configuration" xr:uid="{2F325F2E-1D6B-40E8-B767-CD5926B15057}"/>
    <hyperlink ref="K176" r:id="rId168" location="monitoring-for-configuration-drift" tooltip="https://learn.microsoft.com/azure/cloud-adoption-framework/ready/landing-zone/design-area/management-operational-compliance#monitoring-for-configuration-drift" xr:uid="{63F8956F-D0D7-4A2F-97A9-52E23B5088A8}"/>
    <hyperlink ref="K177" r:id="rId169" tooltip="https://learn.microsoft.com/azure/site-recovery/site-recovery-overview" xr:uid="{B3B8554C-FD83-41C5-B279-366FF2496C3F}"/>
    <hyperlink ref="K178" r:id="rId170" tooltip="https://learn.microsoft.com/azure/architecture/framework/resiliency/backup-and-recovery" xr:uid="{306E4340-1386-472A-B9A1-0BDCB3D53212}"/>
    <hyperlink ref="K179" r:id="rId171" tooltip="https://learn.microsoft.com/azure/backup/backup-center-overview" xr:uid="{7111449C-35DB-461E-9ADA-25E07F9A06A9}"/>
    <hyperlink ref="K180" r:id="rId172" tooltip="https://learn.microsoft.com/azure/reliability/availability-zones-overview" xr:uid="{F2BEC75D-E84F-4FC4-9736-0BA170237EBB}"/>
    <hyperlink ref="K181" r:id="rId173" tooltip="https://learn.microsoft.com/azure/virtual-machines/availability" xr:uid="{B515A4A2-8B19-4CF5-B5C0-AC1D80D2AD5B}"/>
    <hyperlink ref="K182" r:id="rId174" tooltip="https://learn.microsoft.com/azure/load-balancer/load-balancer-overview" xr:uid="{A5CA563A-323E-4A6B-8F1B-A8C369D8ABCF}"/>
    <hyperlink ref="K183" r:id="rId175" tooltip="https://learn.microsoft.com/security/benchmark/azure/security-control-incident-response" xr:uid="{BD9B1592-0BA1-43D2-90F3-730C9809DFEA}"/>
    <hyperlink ref="K184" r:id="rId176" tooltip="https://www.microsoft.com/security/business/zero-trust" xr:uid="{D4FCA211-11C7-43D1-9563-FB1A3372C1E6}"/>
    <hyperlink ref="K185" r:id="rId177" tooltip="https://learn.microsoft.com/azure/key-vault/general/overview" xr:uid="{062CA863-7F8D-4918-AC1A-2D4DDE2B7B64}"/>
    <hyperlink ref="K186" r:id="rId178" tooltip="https://learn.microsoft.com/azure/key-vault/general/overview-throttling" xr:uid="{99765971-978A-4E21-B56D-ACB60CC1AD97}"/>
    <hyperlink ref="K187" r:id="rId179" tooltip="https://learn.microsoft.com/azure/key-vault/general/best-practices" xr:uid="{120D692F-96F2-4A9B-8834-116CEFFF5920}"/>
    <hyperlink ref="K188" r:id="rId180" tooltip="https://learn.microsoft.com/azure/key-vault/general/best-practices" xr:uid="{140BF5A4-6478-467E-BAF2-1C31C0575D0A}"/>
    <hyperlink ref="K189" r:id="rId181" tooltip="https://learn.microsoft.com/azure/key-vault/general/best-practices" xr:uid="{14E67D49-D8A1-407C-81E0-C52ABE8EB56C}"/>
    <hyperlink ref="K190" r:id="rId182" tooltip="https://learn.microsoft.com/azure/key-vault/general/best-practices" xr:uid="{1841FC1F-F271-428F-8103-41FCA91F0FB0}"/>
    <hyperlink ref="K191" r:id="rId183" tooltip="https://learn.microsoft.com/azure/key-vault/general/best-practices" xr:uid="{E1479AB7-2129-436C-B27C-F94951864862}"/>
    <hyperlink ref="K192" r:id="rId184" tooltip="https://learn.microsoft.com/azure/key-vault/general/monitor-key-vault" xr:uid="{64160770-262B-4667-BA78-DA219B71C3A7}"/>
    <hyperlink ref="K193" r:id="rId185" tooltip="https://learn.microsoft.com/azure/key-vault/general/best-practices" xr:uid="{51286C65-0385-4481-B7BE-50341CC1F8CE}"/>
    <hyperlink ref="K194" r:id="rId186" tooltip="https://learn.microsoft.com/azure/security/fundamentals/encryption-atrest" xr:uid="{CC771975-CA56-41F1-9126-0326FA6610A7}"/>
    <hyperlink ref="K195" r:id="rId187" tooltip="https://learn.microsoft.com/azure/key-vault/general/best-practices" xr:uid="{5FC54A04-CE1A-4A10-82ED-B32294F89B2C}"/>
    <hyperlink ref="K196" r:id="rId188" tooltip="https://learn.microsoft.com/azure/key-vault/general/best-practices" xr:uid="{D46C4E90-DB3F-4F8A-9412-2508642D6013}"/>
    <hyperlink ref="K197" r:id="rId189" tooltip="https://learn.microsoft.com/azure/active-directory/reports-monitoring/overview-reports" xr:uid="{BB50365A-609F-4198-A028-586C9BA38E7A}"/>
    <hyperlink ref="K198" r:id="rId190" tooltip="https://learn.microsoft.com/azure/azure-monitor/logs/logs-data-export?tabs=portal" xr:uid="{916D51E5-6A9A-4662-BEA7-24BCC316B7DA}"/>
    <hyperlink ref="K199" r:id="rId191" tooltip="https://learn.microsoft.com/azure/defender-for-cloud/concept-cloud-security-posture-management" xr:uid="{27794C21-012A-47EA-A127-52DFDB7557AA}"/>
    <hyperlink ref="K200" r:id="rId192" tooltip="https://learn.microsoft.com/azure/defender-for-cloud/plan-defender-for-servers-select-plan" xr:uid="{31E25C00-4A2F-41D2-8F3B-9DAEEEE2AC62}"/>
    <hyperlink ref="K201" r:id="rId193" tooltip="https://www.microsoft.com/en-gb/security/business/solutions/cloud-workload-protection" xr:uid="{C82E2A60-435F-4E0C-A493-4BAA824DC994}"/>
    <hyperlink ref="K202" r:id="rId194" tooltip="https://learn.microsoft.com/mem/configmgr/protect/deploy-use/endpoint-protection" xr:uid="{647B7071-5772-4C92-B72C-5F4BDB29AD47}"/>
    <hyperlink ref="K203" r:id="rId195" tooltip="https://learn.microsoft.com/azure/security-center/" xr:uid="{54408A70-4CC6-4778-8680-5777E132C920}"/>
    <hyperlink ref="K204" r:id="rId196" tooltip="https://learn.microsoft.com/azure/azure-monitor/logs/design-logs-deployment" xr:uid="{F749546C-4455-4FFB-8AFD-DB096F43003F}"/>
    <hyperlink ref="K205" r:id="rId197" tooltip="https://learn.microsoft.com/azure/storage/common/storage-require-secure-transfer" xr:uid="{95744FAE-6555-400B-A98A-EA42B7B1A6C7}"/>
    <hyperlink ref="K206" r:id="rId198" location="recommendations-for-basic-data-protection" tooltip="https://learn.microsoft.com/azure/storage/blobs/data-protection-overview#recommendations-for-basic-data-protection" xr:uid="{30828A52-2889-464F-B860-917B8EB8DB02}"/>
    <hyperlink ref="K207" r:id="rId199" tooltip="https://learn.microsoft.com/azure/active-directory/roles/security-planning" xr:uid="{A7277374-1E5E-4248-B24D-BC78213D5847}"/>
    <hyperlink ref="K208" r:id="rId200" tooltip="https://learn.microsoft.com/azure/cloud-adoption-framework/ready/landing-zone/design-area/service-enablement-framework" xr:uid="{FC5F3BE5-F1DC-4DC6-AD50-18E319301F23}"/>
    <hyperlink ref="K209" r:id="rId201" tooltip="https://learn.microsoft.com/azure/cloud-adoption-framework/ready/landing-zone/design-area/service-enablement-framework" xr:uid="{17BB53E5-BF6A-4788-85A3-5907CB86918E}"/>
    <hyperlink ref="K210" r:id="rId202" tooltip="https://learn.microsoft.com/azure/cloud-adoption-framework/ready/landing-zone/design-area/platform-automation-devops" xr:uid="{0BC6268C-9D97-4EE3-92E4-E4751F650CA5}"/>
    <hyperlink ref="K46" r:id="rId203" tooltip="https://learn.microsoft.com/azure/cloud-adoption-framework/ready/azure-best-practices/resource-naming" xr:uid="{EEDBFF27-E9C8-4860-9B01-44EA7611DF37}"/>
    <hyperlink ref="L37" r:id="rId204" tooltip="https://learn.microsoft.com/learn/modules/create-custom-azure-roles-with-rbac/" xr:uid="{6399517B-AEB1-4D08-9E2B-6DFD67195B6D}"/>
    <hyperlink ref="L39" r:id="rId205" tooltip="https://learn.microsoft.com/learn/modules/implement-hybrid-identity-windows-server/" xr:uid="{2DC4A00B-F320-46FF-9DA1-5F19C4381058}"/>
    <hyperlink ref="L41" r:id="rId206" tooltip="https://learn.microsoft.com/learn/paths/implement-applications-external-access-azure-ad/" xr:uid="{F70CE258-0BFC-4296-A221-911448D1FFAC}"/>
    <hyperlink ref="L42" r:id="rId207" tooltip="https://learn.microsoft.com/learn/modules/design-identity-security-strategy/" xr:uid="{61685C96-043C-4F16-9C3E-2AA390F8A062}"/>
    <hyperlink ref="L43" r:id="rId208" tooltip="https://learn.microsoft.com/azure/architecture/example-scenario/identity/adds-extend-domain" xr:uid="{5CBFAA30-725A-45B6-9231-20682B211B27}"/>
    <hyperlink ref="L44" r:id="rId209" tooltip="https://learn.microsoft.com/azure/role-based-access-control/overview" xr:uid="{CF196408-5F86-4086-A10C-48DCCE277FC2}"/>
    <hyperlink ref="L47" r:id="rId210" tooltip="https://learn.microsoft.com/learn/modules/azure-architecture-fundamentals/" xr:uid="{E8CDD21E-0AFA-44C3-80D3-699461B301BA}"/>
    <hyperlink ref="L48" r:id="rId211" tooltip="https://learn.microsoft.com/learn/paths/enterprise-scale-architecture/" xr:uid="{8E22EA76-7B1E-49E4-A676-5B6E2037D046}"/>
    <hyperlink ref="L49" r:id="rId212" tooltip="https://learn.microsoft.com/learn/paths/enterprise-scale-architecture/" xr:uid="{91D6DE79-7740-4A76-9E77-FEFEDFDB1C1A}"/>
    <hyperlink ref="L50" r:id="rId213" tooltip="https://learn.microsoft.com/learn/paths/enterprise-scale-architecture/" xr:uid="{5BF603D1-EFC5-4A22-B405-D381BCB59F82}"/>
    <hyperlink ref="L56" r:id="rId214" tooltip="https://learn.microsoft.com/learn/paths/improve-reliability-modern-operations/" xr:uid="{D5AD91FF-5A65-4620-846E-B53FC10712BD}"/>
    <hyperlink ref="L62" r:id="rId215" tooltip="https://learn.microsoft.com/learn/modules/azure-architecture-fundamentals/" xr:uid="{8AB4949E-77A6-4ACD-B12A-38655AED74CE}"/>
    <hyperlink ref="L65" r:id="rId216" tooltip="https://learn.microsoft.com/learn/paths/secure-application-delivery/" xr:uid="{BADB2165-E9A1-45F8-96CE-6B7CF0B7BEA1}"/>
    <hyperlink ref="L66" r:id="rId217" tooltip="https://learn.microsoft.com/learn/paths/secure-networking-infrastructure/" xr:uid="{1D2987BD-1A6A-4988-B100-97E9D49E909A}"/>
    <hyperlink ref="L69" r:id="rId218" tooltip="https://learn.microsoft.com/learn/paths/architect-network-infrastructure/" xr:uid="{559558E2-F245-439D-B0A5-CE51C89BF8FB}"/>
    <hyperlink ref="L90" r:id="rId219" tooltip="https://learn.microsoft.com/learn/modules/design-implement-azure-expressroute/" xr:uid="{B04BB634-FD4B-403A-9478-0C360B8B3F73}"/>
    <hyperlink ref="L91" r:id="rId220" tooltip="https://learn.microsoft.com/learn/modules/design-implement-azure-expressroute/" xr:uid="{E611425B-640C-41EC-82B9-B5D21FB54AE0}"/>
    <hyperlink ref="L94" r:id="rId221" tooltip="https://learn.microsoft.com/learn/paths/architect-network-infrastructure/" xr:uid="{D3F6B296-6441-42E9-B32C-A857D58E2843}"/>
    <hyperlink ref="L95" r:id="rId222" tooltip="https://learn.microsoft.com/learn/paths/architect-network-infrastructure/" xr:uid="{01D32B48-E176-4A6E-819E-0B5996EDADCD}"/>
    <hyperlink ref="L99" r:id="rId223" tooltip="https://learn.microsoft.com/training/modules/intro-to-azure-dns-private-resolver/" xr:uid="{A314250A-C39A-4B0D-A03E-58F1BE29D468}"/>
    <hyperlink ref="L118" r:id="rId224" tooltip="https://learn.microsoft.com/learn/paths/secure-application-delivery/" xr:uid="{6986EC88-38A8-43B6-9A20-7692B6E76077}"/>
    <hyperlink ref="L129" r:id="rId225" tooltip="https://learn.microsoft.com/learn/modules/design-implement-network-monitoring/" xr:uid="{F8D17FEB-F680-44F1-ADE2-7099C8653216}"/>
    <hyperlink ref="L130" r:id="rId226" tooltip="https://learn.microsoft.com/learn/modules/introduction-azure-virtual-wan/" xr:uid="{DFFB75C5-3AFD-45C8-A888-16469F53E69A}"/>
    <hyperlink ref="L133" r:id="rId227" tooltip="https://learn.microsoft.com/learn/paths/secure-networking-infrastructure/" xr:uid="{58F0DC8A-3C5A-49BF-BA83-2169B2BCCECF}"/>
    <hyperlink ref="K144" r:id="rId228" tooltip="https://learn.microsoft.com/azure/governance/policy/overview" xr:uid="{2F63ABE5-63C9-4BDF-BD0F-441B431A0C9A}"/>
    <hyperlink ref="L149" r:id="rId229" tooltip="https://learn.microsoft.com/learn/paths/secure-your-cloud-data/" xr:uid="{AC44E8EE-0F09-4A13-BA8D-E263DFF98540}"/>
    <hyperlink ref="L159" r:id="rId230" tooltip="https://learn.microsoft.com/learn/paths/architect-infrastructure-operations/" xr:uid="{1A1C5775-9A74-4338-90FF-5260DBC0EDF9}"/>
    <hyperlink ref="L160" r:id="rId231" tooltip="https://learn.microsoft.com/en-us/azure/governance/policy/concepts/effects" xr:uid="{929F3CE3-8C96-4C97-B76A-4955FA417134}"/>
    <hyperlink ref="L161" r:id="rId232" tooltip="https://learn.microsoft.com/learn/paths/implement-resource-mgmt-security/" xr:uid="{E57D0309-F0AC-446A-89CF-7A665250EE20}"/>
    <hyperlink ref="L162" r:id="rId233" tooltip="https://learn.microsoft.com/learn/paths/azure-administrator-manage-compute-resources/" xr:uid="{E2E7F49C-10CF-4B1E-9CE9-37062F6045C3}"/>
    <hyperlink ref="L163" r:id="rId234" tooltip="https://learn.microsoft.com/learn/modules/configure-network-watcher/" xr:uid="{5E60BC71-96AC-44E8-BD04-4A23CD923F05}"/>
    <hyperlink ref="K211" r:id="rId235" location="design-recommendations" tooltip="https://learn.microsoft.com/azure/cloud-adoption-framework/ready/considerations/devops-teams-topologies#design-recommendations" xr:uid="{318562F9-9067-4EED-8199-5E6B191815C7}"/>
    <hyperlink ref="K212" r:id="rId236" location="design-recommendations" tooltip="https://learn.microsoft.com/azure/cloud-adoption-framework/ready/considerations/devops-teams-topologies#design-recommendations" xr:uid="{2725C99E-C104-476D-980A-9FC98A31FFC4}"/>
    <hyperlink ref="K213" r:id="rId237" tooltip="https://learn.microsoft.com/azure/cloud-adoption-framework/ready/considerations/infrastructure-as-code" xr:uid="{62A27F13-3D6F-4A5E-8236-EEDFB9C2C91A}"/>
    <hyperlink ref="K214" r:id="rId238" location="automated-builds" tooltip="https://learn.microsoft.com/azure/cloud-adoption-framework/ready/considerations/development-strategy-development-lifecycle#automated-builds" xr:uid="{5B11D4B2-1B51-43AE-860A-38EFC1AF4134}"/>
    <hyperlink ref="K215" r:id="rId239" location="automated-builds" tooltip="https://learn.microsoft.com/azure/cloud-adoption-framework/ready/considerations/development-strategy-development-lifecycle#automated-builds" xr:uid="{713DE701-E97C-4F44-871D-72F93C337621}"/>
    <hyperlink ref="K216" r:id="rId240" tooltip="https://learn.microsoft.com/azure/cloud-adoption-framework/ready/landing-zone/design-area/subscription-vending" xr:uid="{1714985E-68C4-4982-A460-7150B9E847F2}"/>
    <hyperlink ref="K217" r:id="rId241" tooltip="https://learn.microsoft.com/azure/cloud-adoption-framework/ready/considerations/infrastructure-as-code" xr:uid="{E312124D-2E60-44CC-8BDE-EC9CCB1F09B4}"/>
    <hyperlink ref="K218" r:id="rId242" tooltip="https://learn.microsoft.com/azure/cloud-adoption-framework/ready/considerations/development-strategy-development-lifecycle" xr:uid="{2C839D41-8D22-47D5-A3C0-D426FEA82C7F}"/>
    <hyperlink ref="K219" r:id="rId243" tooltip="https://learn.microsoft.com/azure/cloud-adoption-framework/ready/considerations/development-strategy-development-lifecycle" xr:uid="{6F78997A-8218-41D6-9256-23FECC9041A1}"/>
    <hyperlink ref="K220" r:id="rId244" tooltip="https://learn.microsoft.com/azure/cloud-adoption-framework/ready/considerations/infrastructure-as-code" xr:uid="{D6CD3D86-214B-41A7-824C-2B7BAF5365A7}"/>
    <hyperlink ref="K221" r:id="rId245" location="secure" tooltip="https://learn.microsoft.com/azure/cloud-adoption-framework/ready/considerations/landing-zone-security#secure" xr:uid="{BDAEBB9F-5591-4481-B374-9702E9DA628B}"/>
    <hyperlink ref="K222" r:id="rId246" tooltip="https://learn.microsoft.com/azure/cloud-adoption-framework/ready/azure-best-practices/track-costs" display="More info" xr:uid="{A07B1F0D-FDB2-4E2D-8170-E16428F569BC}"/>
    <hyperlink ref="L222" r:id="rId247" tooltip="https://learn.microsoft.com/learn/paths/implement-resource-mgmt-security/" display="Training" xr:uid="{256027BC-CC49-48BC-B479-8B2320C5B67B}"/>
    <hyperlink ref="K223" r:id="rId248" tooltip="https://learn.microsoft.com/security/benchmark/azure/security-control-incident-response" display="More info" xr:uid="{50ACE6A2-0473-42E3-BB7A-269C37FCFB25}"/>
    <hyperlink ref="K224" r:id="rId249" tooltip="https://www.microsoft.com/security/business/zero-trust" display="More info" xr:uid="{2FA1C149-6A74-48C1-8B64-77EC430D0DD6}"/>
    <hyperlink ref="K225" r:id="rId250" tooltip="https://learn.microsoft.com/azure/key-vault/general/overview" display="More info" xr:uid="{9D400746-21EE-4B18-9E64-F3A97935E73E}"/>
    <hyperlink ref="K226" r:id="rId251" tooltip="https://learn.microsoft.com/azure/key-vault/general/overview-throttling" display="More info" xr:uid="{8A7EE393-C93F-42F3-B192-C9E84C2BBC9E}"/>
    <hyperlink ref="K227" r:id="rId252" tooltip="https://learn.microsoft.com/azure/key-vault/general/best-practices" display="More info" xr:uid="{C9249EA6-4CB7-4656-8F18-1CC53F1A2377}"/>
    <hyperlink ref="K228" r:id="rId253" tooltip="https://learn.microsoft.com/azure/key-vault/general/best-practices" display="More info" xr:uid="{251F9A2A-1696-4A6D-8384-A3BC10E9EA3A}"/>
    <hyperlink ref="K229" r:id="rId254" tooltip="https://learn.microsoft.com/azure/key-vault/general/best-practices" display="More info" xr:uid="{CAEAD5CC-E6EE-4434-9786-AA27EE30A336}"/>
    <hyperlink ref="K230" r:id="rId255" tooltip="https://learn.microsoft.com/azure/key-vault/general/best-practices" display="More info" xr:uid="{EFAA1303-5B60-4810-86F5-A31F52A46A54}"/>
    <hyperlink ref="K231" r:id="rId256" tooltip="https://learn.microsoft.com/azure/key-vault/general/best-practices" display="More info" xr:uid="{2A160FBB-7D91-4804-A85A-FF5896AA328B}"/>
    <hyperlink ref="K232" r:id="rId257" tooltip="https://learn.microsoft.com/azure/key-vault/general/monitor-key-vault" display="More info" xr:uid="{5A4D57DC-F123-4294-AE3F-FF3484C9B619}"/>
    <hyperlink ref="K233" r:id="rId258" tooltip="https://learn.microsoft.com/azure/key-vault/general/best-practices" display="More info" xr:uid="{DD1E50DA-FBCA-47C6-B884-CAF83FE4954A}"/>
    <hyperlink ref="K234" r:id="rId259" tooltip="https://learn.microsoft.com/azure/security/fundamentals/encryption-atrest" display="More info" xr:uid="{287340C4-9553-4D7E-9EAB-2458998622F9}"/>
    <hyperlink ref="K235" r:id="rId260" tooltip="https://learn.microsoft.com/azure/key-vault/general/best-practices" display="More info" xr:uid="{2A2A1C2C-6D21-4845-BDEA-E985DD769332}"/>
    <hyperlink ref="K236" r:id="rId261" tooltip="https://learn.microsoft.com/azure/key-vault/general/best-practices" display="More info" xr:uid="{CF2D4036-9422-4D32-A59E-E2FC64903B16}"/>
    <hyperlink ref="K237" r:id="rId262" tooltip="https://learn.microsoft.com/azure/active-directory/reports-monitoring/overview-reports" display="More info" xr:uid="{38558919-A2C0-42BD-B4F4-F750BF313956}"/>
    <hyperlink ref="K238" r:id="rId263" tooltip="https://learn.microsoft.com/azure/azure-monitor/logs/logs-data-export?tabs=portal" display="More info" xr:uid="{B1B295D9-7AA3-46E2-B5C7-ABBEA7BF610B}"/>
    <hyperlink ref="K239" r:id="rId264" tooltip="https://learn.microsoft.com/azure/security-center/" display="More info" xr:uid="{2EADCE0E-04CB-44EA-BF97-88061E023B7B}"/>
    <hyperlink ref="K240" r:id="rId265" tooltip="https://learn.microsoft.com/azure/security-center/" display="More info" xr:uid="{1F1311C4-9FF9-446C-ACDF-AE3B1188CEB5}"/>
    <hyperlink ref="K241" r:id="rId266" tooltip="https://learn.microsoft.com/azure/azure-monitor/logs/design-logs-deployment" display="More info" xr:uid="{CBF4CE7D-0B0C-40C8-BAC9-9BF29CBAE2D9}"/>
    <hyperlink ref="K242" r:id="rId267" tooltip="https://learn.microsoft.com/azure/storage/common/storage-require-secure-transfer" display="More info" xr:uid="{A3559E9B-9C67-4FE4-99FF-0573C125A2E1}"/>
    <hyperlink ref="K243" r:id="rId268" location="recommendations-for-basic-data-protection" tooltip="https://learn.microsoft.com/azure/storage/blobs/data-protection-overview#recommendations-for-basic-data-protection" display="More info" xr:uid="{BBFF0DDF-3D17-49BB-8F7E-793505101B2F}"/>
    <hyperlink ref="K244" r:id="rId269" tooltip="https://learn.microsoft.com/en-us/azure/active-directory/roles/security-planning" display="More info" xr:uid="{6AAD8BFF-A057-4783-AEF7-BE98383E0ACF}"/>
    <hyperlink ref="K245" r:id="rId270" tooltip="https://learn.microsoft.com/azure/cloud-adoption-framework/ready/landing-zone/design-area/service-enablement-framework" display="More info" xr:uid="{A33DF6B8-BDEE-4C76-A14E-CFA9A0FBF64A}"/>
    <hyperlink ref="K246" r:id="rId271" tooltip="https://learn.microsoft.com/azure/cloud-adoption-framework/ready/landing-zone/design-area/service-enablement-framework" display="More info" xr:uid="{DC5DC93B-9733-460F-87FB-166BB8FF0CC0}"/>
    <hyperlink ref="L26" r:id="rId272" tooltip="https://learn.microsoft.com/azure/active-directory/managed-identities-azure-resources/overview" xr:uid="{2777901E-8A1B-4ABB-9CBD-8E6C3366DCA1}"/>
    <hyperlink ref="L28" r:id="rId273" tooltip="https://learn.microsoft.com/learn/modules/azure-ad-privileged-identity-management/" xr:uid="{CB46D8BC-B1AB-48A2-83D2-69C0E8B7249D}"/>
    <hyperlink ref="L30" r:id="rId274" tooltip="https://learn.microsoft.com/learn/paths/implement-resource-mgmt-security/" xr:uid="{E68B7418-B16A-456D-BE2D-90C7E2C23881}"/>
    <hyperlink ref="L31" r:id="rId275" tooltip="https://learn.microsoft.com/learn/modules/plan-implement-administer-conditional-access/" xr:uid="{AC345871-6E97-4CDD-BEF1-D8DA07EAD9F9}"/>
    <hyperlink ref="L32" r:id="rId276" tooltip="https://learn.microsoft.com/learn/modules/secure-aad-users-with-mfa/" xr:uid="{230EB10F-149A-41D4-A75F-A56DF850B0A5}"/>
    <hyperlink ref="L33" r:id="rId277" tooltip="https://learn.microsoft.com/learn/paths/azure-administrator-manage-identities-governance/" xr:uid="{3FE33F12-399C-4CA9-9478-BCB324CC8100}"/>
    <hyperlink ref="L34" r:id="rId278" tooltip="https://learn.microsoft.com/learn/modules/azure-ad-privileged-identity-management/" xr:uid="{D6B6EB48-8A88-47E9-8AB8-A284505226DF}"/>
    <hyperlink ref="L35" r:id="rId279" tooltip="https://learn.microsoft.com/learn/modules/explore-basic-services-identity-types/" xr:uid="{E8835A90-A480-477D-B477-145742178322}"/>
    <hyperlink ref="L36" r:id="rId280" tooltip="https://learn.microsoft.com/learn/paths/manage-identity-and-access/" xr:uid="{D2A52326-CD16-42A5-875C-CEF9AE6D2056}"/>
    <hyperlink ref="L38" r:id="rId281" tooltip="https://learn.microsoft.com/learn/modules/azure-active-directory/" xr:uid="{7603933A-4619-45A4-BC0E-26954D6C491F}"/>
    <hyperlink ref="L40" r:id="rId282" tooltip="https://learn.microsoft.com/learn/paths/implement-windows-server-iaas-virtual-machine-identity/" xr:uid="{544B25CA-C03E-4B79-B6EA-71FB9FB41CED}"/>
    <hyperlink ref="L57" r:id="rId283" tooltip="https://learn.microsoft.com/learn/paths/monitor-usage-performance-availability-resources-azure-monitor/" xr:uid="{6232C604-D9D0-491E-8867-DADAAEFE6AB1}"/>
    <hyperlink ref="L58" r:id="rId284" tooltip="https://learn.microsoft.com/learn/paths/control-spending-manage-bills/" xr:uid="{A0CBA261-3562-4AE6-9308-D9B8916FB576}"/>
    <hyperlink ref="L59" r:id="rId285" tooltip="https://learn.microsoft.com/learn/paths/enterprise-scale-architecture/" xr:uid="{1F634BEE-0E48-4D03-A7A6-7B60C3E1F3E8}"/>
    <hyperlink ref="L60" r:id="rId286" tooltip="https://learn.microsoft.com/learn/paths/implement-resource-mgmt-security/" xr:uid="{66D03CDF-8000-46B6-8F94-C9EA3DCA205B}"/>
    <hyperlink ref="L61" r:id="rId287" tooltip="https://learn.microsoft.com/learn/modules/azure-architecture-fundamentals/" xr:uid="{A42C6112-55B5-4DE7-80CC-76C6CDC0669A}"/>
    <hyperlink ref="K63" r:id="rId288" tooltip="https://azure.microsoft.com/explore/global-infrastructure/products-by-region/" xr:uid="{51B7CDA3-BE89-4510-9F32-5A3C6E6FC33B}"/>
    <hyperlink ref="L63" r:id="rId289" tooltip="https://learn.microsoft.com/learn/modules/azure-architecture-fundamentals/" xr:uid="{1EBA4CEF-3972-4BDA-80F8-B10A989F0474}"/>
    <hyperlink ref="L74" r:id="rId290" tooltip="https://learn.microsoft.com/learn/paths/azure-administrator-manage-virtual-networks/" xr:uid="{AA37F434-DE37-48F4-9DF4-107431E54B47}"/>
    <hyperlink ref="L75" r:id="rId291" tooltip="https://learn.microsoft.com/learn/modules/design-implement-network-monitoring/" xr:uid="{42C56534-9569-4FEC-86C8-3712C0C244C6}"/>
    <hyperlink ref="L79" r:id="rId292" tooltip="https://learn.microsoft.com/learn/modules/design-implement-azure-expressroute/" xr:uid="{ED92E629-DA60-4BDB-A459-775E0BDB908E}"/>
    <hyperlink ref="L80" r:id="rId293" tooltip="https://learn.microsoft.com/learn/modules/design-implement-azure-expressroute/" xr:uid="{BC0B1A59-8FAD-406C-B5CA-932491B32E95}"/>
    <hyperlink ref="L81" r:id="rId294" tooltip="https://learn.microsoft.com/learn/modules/design-implement-azure-expressroute/" xr:uid="{BD134D76-3DC2-4F68-A57A-39F9EAAFAD24}"/>
    <hyperlink ref="L84" r:id="rId295" tooltip="https://learn.microsoft.com/learn/modules/design-implement-azure-expressroute/" xr:uid="{D4D8FDA9-2641-4D3D-AEE0-41EDC9B323DA}"/>
    <hyperlink ref="L85" r:id="rId296" tooltip="https://learn.microsoft.com/learn/modules/design-implement-azure-expressroute/" xr:uid="{5B3727BB-88F8-414A-B2ED-9AEF3D8ACBA6}"/>
    <hyperlink ref="L86" r:id="rId297" tooltip="https://learn.microsoft.com/learn/modules/design-implement-azure-expressroute/" xr:uid="{C1110480-26F7-4101-860E-D1C3C43E0561}"/>
    <hyperlink ref="L87" r:id="rId298" tooltip="https://learn.microsoft.com/training/modules/intro-to-azure-vpn-gateway/" xr:uid="{4AE23861-0127-40C0-BF83-8D026A6563A0}"/>
    <hyperlink ref="L88" r:id="rId299" tooltip="https://learn.microsoft.com/learn/modules/design-implement-azure-expressroute/" xr:uid="{C60E4536-106C-4B1D-8217-0F593F984BF8}"/>
    <hyperlink ref="L89" r:id="rId300" tooltip="https://learn.microsoft.com/learn/modules/design-implement-azure-expressroute/" xr:uid="{A32C4EBE-A41B-4620-9935-D34414377293}"/>
    <hyperlink ref="L92" r:id="rId301" tooltip="https://learn.microsoft.com/learn/modules/design-implement-azure-expressroute/" xr:uid="{919A4933-6498-4EB5-818B-4695D1570DC0}"/>
    <hyperlink ref="L101" r:id="rId302" tooltip="https://learn.microsoft.com/learn/paths/az-104-manage-virtual-networks/" xr:uid="{4916C270-7977-40F7-95DB-43ADFD7653FE}"/>
    <hyperlink ref="L104" r:id="rId303" tooltip="https://learn.microsoft.com/learn/paths/secure-networking-infrastructure/" xr:uid="{9030A413-EDCA-433A-90F2-1E16D5F2810D}"/>
    <hyperlink ref="L105" r:id="rId304" tooltip="https://learn.microsoft.com/learn/paths/secure-networking-infrastructure/" xr:uid="{33437F4D-055D-4F54-9605-04A025691D46}"/>
    <hyperlink ref="L106" r:id="rId305" tooltip="https://learn.microsoft.com/learn/paths/secure-networking-infrastructure/" xr:uid="{0B09D4FA-0B1D-491B-96B1-8BEDC3056FC5}"/>
    <hyperlink ref="L107" r:id="rId306" tooltip="https://learn.microsoft.com/learn/paths/secure-application-delivery/" xr:uid="{8C6EA72F-2E23-44D5-83D6-412CE6C67B21}"/>
    <hyperlink ref="L108" r:id="rId307" tooltip="https://learn.microsoft.com/learn/paths/secure-application-delivery/" xr:uid="{A9065771-AA78-4D1B-B981-B5359C9A03FD}"/>
    <hyperlink ref="L109" r:id="rId308" tooltip="https://learn.microsoft.com/learn/paths/architect-network-infrastructure/" xr:uid="{1739B536-7F7A-4CEB-991A-332DC7E57BE4}"/>
    <hyperlink ref="L110" r:id="rId309" tooltip="https://learn.microsoft.com/learn/paths/secure-networking-infrastructure/" xr:uid="{08238F28-3C3E-4D78-A400-EF103CD771D7}"/>
    <hyperlink ref="L119" r:id="rId310" tooltip="https://learn.microsoft.com/learn/modules/design-implement-azure-expressroute/" xr:uid="{A37DFC50-CB40-49E5-9652-9C02E15B7C44}"/>
    <hyperlink ref="L120" r:id="rId311" tooltip="https://learn.microsoft.com/learn/paths/implement-network-security/?source=learn" xr:uid="{A123B643-3B81-409B-A51A-DE96BCD79519}"/>
    <hyperlink ref="L121" r:id="rId312" tooltip="https://learn.microsoft.com/learn/paths/implement-network-security/?source=learn" xr:uid="{10429AF1-54B2-4853-8B4F-C262E1382182}"/>
    <hyperlink ref="L125" r:id="rId313" tooltip="https://learn.microsoft.com/learn/paths/implement-resource-mgmt-security/" xr:uid="{83BB43A0-050D-4E29-890F-8EF78447179A}"/>
    <hyperlink ref="L126" r:id="rId314" tooltip="https://learn.microsoft.com/learn/paths/implement-network-security/" xr:uid="{514C0A42-DF42-41B7-924C-432F9BC06D58}"/>
    <hyperlink ref="L157" r:id="rId315" tooltip="https://learn.microsoft.com/azure/azure-monitor/logs/design-logs-deployment" xr:uid="{124938F7-B06E-489C-BB8E-D2B16F508324}"/>
    <hyperlink ref="L164" r:id="rId316" tooltip="https://learn.microsoft.com/learn/paths/implement-resource-mgmt-security/" xr:uid="{F9250367-E864-4E22-90A7-BC9D82256461}"/>
    <hyperlink ref="K169" r:id="rId317" tooltip="https://learn.microsoft.com/azure/azure-monitor/logs/design-logs-deployment" xr:uid="{9B0B2158-B769-4249-9D53-019ABC0BD007}"/>
  </hyperlinks>
  <pageMargins left="0.7" right="0.7" top="0.75" bottom="0.75" header="0.3" footer="0.3"/>
  <pageSetup paperSize="9" orientation="portrait" horizontalDpi="4294967293" r:id="rId318"/>
  <drawing r:id="rId319"/>
  <legacyDrawing r:id="rId320"/>
  <mc:AlternateContent xmlns:mc="http://schemas.openxmlformats.org/markup-compatibility/2006">
    <mc:Choice Requires="x14">
      <controls>
        <mc:AlternateContent xmlns:mc="http://schemas.openxmlformats.org/markup-compatibility/2006">
          <mc:Choice Requires="x14">
            <control shapeId="1025" r:id="rId321" name="Button 1">
              <controlPr defaultSize="0" print="0" autoFill="0" autoPict="0" macro="[0]!Sheet1.export_json">
                <anchor moveWithCells="1" sizeWithCells="1">
                  <from>
                    <xdr:col>8</xdr:col>
                    <xdr:colOff>4905375</xdr:colOff>
                    <xdr:row>1</xdr:row>
                    <xdr:rowOff>533400</xdr:rowOff>
                  </from>
                  <to>
                    <xdr:col>11</xdr:col>
                    <xdr:colOff>85725</xdr:colOff>
                    <xdr:row>2</xdr:row>
                    <xdr:rowOff>104775</xdr:rowOff>
                  </to>
                </anchor>
              </controlPr>
            </control>
          </mc:Choice>
        </mc:AlternateContent>
        <mc:AlternateContent xmlns:mc="http://schemas.openxmlformats.org/markup-compatibility/2006">
          <mc:Choice Requires="x14">
            <control shapeId="1027" r:id="rId322" name="Button 3">
              <controlPr defaultSize="0" print="0" autoFill="0" autoPict="0" macro="[0]!Sheet1.import_checklist">
                <anchor moveWithCells="1">
                  <from>
                    <xdr:col>8</xdr:col>
                    <xdr:colOff>4905375</xdr:colOff>
                    <xdr:row>1</xdr:row>
                    <xdr:rowOff>200025</xdr:rowOff>
                  </from>
                  <to>
                    <xdr:col>11</xdr:col>
                    <xdr:colOff>0</xdr:colOff>
                    <xdr:row>1</xdr:row>
                    <xdr:rowOff>476250</xdr:rowOff>
                  </to>
                </anchor>
              </controlPr>
            </control>
          </mc:Choice>
        </mc:AlternateContent>
        <mc:AlternateContent xmlns:mc="http://schemas.openxmlformats.org/markup-compatibility/2006">
          <mc:Choice Requires="x14">
            <control shapeId="1028" r:id="rId323" name="Button 4">
              <controlPr defaultSize="0" print="0" autoFill="0" autoPict="0" macro="[0]!Sheet1.import_checklist_fromurl">
                <anchor moveWithCells="1" sizeWithCells="1">
                  <from>
                    <xdr:col>5</xdr:col>
                    <xdr:colOff>76200</xdr:colOff>
                    <xdr:row>1</xdr:row>
                    <xdr:rowOff>161925</xdr:rowOff>
                  </from>
                  <to>
                    <xdr:col>5</xdr:col>
                    <xdr:colOff>2019300</xdr:colOff>
                    <xdr:row>1</xdr:row>
                    <xdr:rowOff>476250</xdr:rowOff>
                  </to>
                </anchor>
              </controlPr>
            </control>
          </mc:Choice>
        </mc:AlternateContent>
        <mc:AlternateContent xmlns:mc="http://schemas.openxmlformats.org/markup-compatibility/2006">
          <mc:Choice Requires="x14">
            <control shapeId="1043" r:id="rId324" name="Button 19">
              <controlPr defaultSize="0" print="0" autoFill="0" autoPict="0" macro="[0]!Sheet1.import_graph_results">
                <anchor moveWithCells="1" sizeWithCells="1">
                  <from>
                    <xdr:col>8</xdr:col>
                    <xdr:colOff>4905375</xdr:colOff>
                    <xdr:row>2</xdr:row>
                    <xdr:rowOff>161925</xdr:rowOff>
                  </from>
                  <to>
                    <xdr:col>11</xdr:col>
                    <xdr:colOff>95250</xdr:colOff>
                    <xdr:row>3</xdr:row>
                    <xdr:rowOff>200025</xdr:rowOff>
                  </to>
                </anchor>
              </controlPr>
            </control>
          </mc:Choice>
        </mc:AlternateContent>
        <mc:AlternateContent xmlns:mc="http://schemas.openxmlformats.org/markup-compatibility/2006">
          <mc:Choice Requires="x14">
            <control shapeId="1029" r:id="rId325" name="Group Box 5">
              <controlPr defaultSize="0" autoFill="0" autoPict="0">
                <anchor moveWithCells="1">
                  <from>
                    <xdr:col>8</xdr:col>
                    <xdr:colOff>4524375</xdr:colOff>
                    <xdr:row>1</xdr:row>
                    <xdr:rowOff>142875</xdr:rowOff>
                  </from>
                  <to>
                    <xdr:col>11</xdr:col>
                    <xdr:colOff>333375</xdr:colOff>
                    <xdr:row>4</xdr:row>
                    <xdr:rowOff>66675</xdr:rowOff>
                  </to>
                </anchor>
              </controlPr>
            </control>
          </mc:Choice>
        </mc:AlternateContent>
      </controls>
    </mc:Choice>
  </mc:AlternateContent>
  <extLst>
    <ext xmlns:x14="http://schemas.microsoft.com/office/spreadsheetml/2009/9/main" uri="{78C0D931-6437-407d-A8EE-F0AAD7539E65}">
      <x14:conditionalFormattings>
        <x14:conditionalFormatting xmlns:xm="http://schemas.microsoft.com/office/excel/2006/main">
          <x14:cfRule type="dataBar" id="{9539AB88-4F2A-4CB7-BCCB-E840D31820E2}">
            <x14:dataBar minLength="0" maxLength="100" gradient="0">
              <x14:cfvo type="autoMin"/>
              <x14:cfvo type="autoMax"/>
              <x14:negativeFillColor rgb="FFFF0000"/>
              <x14:axisColor rgb="FF000000"/>
            </x14:dataBar>
          </x14:cfRule>
          <xm:sqref>O8:S8</xm:sqref>
        </x14:conditionalFormatting>
        <x14:conditionalFormatting xmlns:xm="http://schemas.microsoft.com/office/excel/2006/main">
          <x14:cfRule type="cellIs" priority="291" operator="equal" id="{EF374120-932D-4038-9401-491522B428CB}">
            <xm:f>Values!$B$5</xm:f>
            <x14:dxf>
              <fill>
                <patternFill>
                  <bgColor rgb="FF00B050"/>
                </patternFill>
              </fill>
            </x14:dxf>
          </x14:cfRule>
          <xm:sqref>H10:H299</xm:sqref>
        </x14:conditionalFormatting>
        <x14:conditionalFormatting xmlns:xm="http://schemas.microsoft.com/office/excel/2006/main">
          <x14:cfRule type="cellIs" priority="301" operator="equal" id="{3FAF5097-EDD1-413B-B67D-F709427CE1C9}">
            <xm:f>Values!$B$4</xm:f>
            <x14:dxf>
              <fill>
                <patternFill>
                  <bgColor rgb="FF00B050"/>
                </patternFill>
              </fill>
            </x14:dxf>
          </x14:cfRule>
          <x14:cfRule type="cellIs" priority="302" operator="equal" id="{3C8D81A4-1510-449F-9D38-BCF8671ECC50}">
            <xm:f>Values!$B$2</xm:f>
            <x14:dxf>
              <fill>
                <patternFill>
                  <bgColor rgb="FFFFC000"/>
                </patternFill>
              </fill>
            </x14:dxf>
          </x14:cfRule>
          <x14:cfRule type="cellIs" priority="303" operator="equal" id="{5DD2E7F1-CAD4-490A-AC66-C26C1EFC893B}">
            <xm:f>Values!$B$6</xm:f>
            <x14:dxf>
              <fill>
                <patternFill>
                  <bgColor theme="2"/>
                </patternFill>
              </fill>
            </x14:dxf>
          </x14:cfRule>
          <x14:cfRule type="cellIs" priority="304" operator="equal" id="{90DE5207-6C3E-4BA7-A439-C362737755D9}">
            <xm:f>Values!$B$3</xm:f>
            <x14:dxf>
              <fill>
                <patternFill>
                  <bgColor rgb="FFFF0000"/>
                </patternFill>
              </fill>
            </x14:dxf>
          </x14:cfRule>
          <xm:sqref>H10:H299</xm:sqref>
        </x14:conditionalFormatting>
        <x14:conditionalFormatting xmlns:xm="http://schemas.microsoft.com/office/excel/2006/main">
          <x14:cfRule type="cellIs" priority="305" operator="equal" id="{42CD8C9C-EAE9-4067-8FFE-DEE350E9C5BE}">
            <xm:f>Values!$B$5</xm:f>
            <x14:dxf>
              <fill>
                <patternFill>
                  <bgColor rgb="FF00B050"/>
                </patternFill>
              </fill>
            </x14:dxf>
          </x14:cfRule>
          <x14:cfRule type="cellIs" priority="306" operator="equal" id="{91328A24-1F53-4224-ADBE-F78CC4D5E6CA}">
            <xm:f>Values!$B$4</xm:f>
            <x14:dxf>
              <fill>
                <patternFill>
                  <bgColor rgb="FF00B050"/>
                </patternFill>
              </fill>
            </x14:dxf>
          </x14:cfRule>
          <x14:cfRule type="cellIs" priority="307" operator="equal" id="{459885FA-A26D-4BDE-8A0C-5550B1911868}">
            <xm:f>Values!$B$2</xm:f>
            <x14:dxf>
              <fill>
                <patternFill>
                  <bgColor rgb="FFFFC000"/>
                </patternFill>
              </fill>
            </x14:dxf>
          </x14:cfRule>
          <x14:cfRule type="cellIs" priority="308" operator="equal" id="{D63EC4D8-AFAA-4A8D-848E-A859B545A99A}">
            <xm:f>Values!$B$6</xm:f>
            <x14:dxf>
              <fill>
                <patternFill>
                  <bgColor theme="2"/>
                </patternFill>
              </fill>
            </x14:dxf>
          </x14:cfRule>
          <x14:cfRule type="cellIs" priority="309" operator="equal" id="{3D909DF5-1B95-4F55-9712-A0209D660DEB}">
            <xm:f>Values!$B$3</xm:f>
            <x14:dxf>
              <fill>
                <patternFill>
                  <bgColor rgb="FFFF0000"/>
                </patternFill>
              </fill>
            </x14:dxf>
          </x14:cfRule>
          <xm:sqref>G4:G8</xm:sqref>
        </x14:conditionalFormatting>
      </x14:conditionalFormattings>
    </ext>
    <ext xmlns:x14="http://schemas.microsoft.com/office/spreadsheetml/2009/9/main" uri="{CCE6A557-97BC-4b89-ADB6-D9C93CAAB3DF}">
      <x14:dataValidations xmlns:xm="http://schemas.microsoft.com/office/excel/2006/main" count="7">
        <x14:dataValidation type="list" allowBlank="1" showInputMessage="1" showErrorMessage="1" xr:uid="{02B2B990-4A86-4049-A8DE-23C2DA4C5AB7}">
          <x14:formula1>
            <xm:f>Values!$G$2:$G$6</xm:f>
          </x14:formula1>
          <xm:sqref>H2:H3</xm:sqref>
        </x14:dataValidation>
        <x14:dataValidation type="list" allowBlank="1" showInputMessage="1" showErrorMessage="1" xr:uid="{3B42DE15-645A-4E06-86AA-0E7EE308B74D}">
          <x14:formula1>
            <xm:f>Values!$A$2:$A$4</xm:f>
          </x14:formula1>
          <xm:sqref>G10:G272</xm:sqref>
        </x14:dataValidation>
        <x14:dataValidation type="list" allowBlank="1" showInputMessage="1" showErrorMessage="1" xr:uid="{4E60EA48-6D70-440F-850F-6AB151308106}">
          <x14:formula1>
            <xm:f>Values!$B$2:$B$6</xm:f>
          </x14:formula1>
          <xm:sqref>H10:H299</xm:sqref>
        </x14:dataValidation>
        <x14:dataValidation type="list" allowBlank="1" showInputMessage="1" showErrorMessage="1" xr:uid="{AC885F1E-9328-40BC-9BCC-FF426638FD34}">
          <x14:formula1>
            <xm:f>Values!$L$2:$L$6</xm:f>
          </x14:formula1>
          <xm:sqref>D10:D707</xm:sqref>
        </x14:dataValidation>
        <x14:dataValidation type="list" allowBlank="1" showInputMessage="1" showErrorMessage="1" xr:uid="{739628BC-18A9-487C-B50C-7353D28F76A3}">
          <x14:formula1>
            <xm:f>Values!$M$2:$M$3</xm:f>
          </x14:formula1>
          <xm:sqref>J10:J1048576</xm:sqref>
        </x14:dataValidation>
        <x14:dataValidation type="list" allowBlank="1" showInputMessage="1" showErrorMessage="1" xr:uid="{D1412479-1CA8-4F35-8E2F-40DF6F1A942B}">
          <x14:formula1>
            <xm:f>Values!$F$2:$F$7</xm:f>
          </x14:formula1>
          <xm:sqref>G3</xm:sqref>
        </x14:dataValidation>
        <x14:dataValidation type="list" allowBlank="1" showInputMessage="1" showErrorMessage="1" xr:uid="{1FADF299-D3F5-4738-87C9-07B95BA322CB}">
          <x14:formula1>
            <xm:f>Values!$F$2:$F$21</xm:f>
          </x14:formula1>
          <xm:sqref>G2</xm:sqref>
        </x14:dataValidation>
      </x14:dataValidation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702B29A-68B4-4EF5-953B-ED7ED6325293}">
  <sheetPr codeName="Sheet2"/>
  <dimension ref="A1:M21"/>
  <sheetViews>
    <sheetView workbookViewId="0">
      <selection activeCell="F15" sqref="F15"/>
    </sheetView>
  </sheetViews>
  <sheetFormatPr defaultRowHeight="15"/>
  <cols>
    <col min="2" max="2" width="10" bestFit="1" customWidth="1"/>
    <col min="3" max="3" width="16.85546875" customWidth="1"/>
    <col min="6" max="6" width="16.28515625" customWidth="1"/>
    <col min="7" max="7" width="18.140625" customWidth="1"/>
    <col min="9" max="9" width="17.5703125" customWidth="1"/>
    <col min="10" max="10" width="25.7109375" customWidth="1"/>
    <col min="11" max="11" width="15.7109375" customWidth="1"/>
  </cols>
  <sheetData>
    <row r="1" spans="1:13">
      <c r="A1" s="12" t="s">
        <v>1</v>
      </c>
      <c r="B1" s="12" t="s">
        <v>2</v>
      </c>
      <c r="C1" s="12" t="s">
        <v>13</v>
      </c>
      <c r="D1" s="12" t="s">
        <v>18</v>
      </c>
      <c r="E1" s="12" t="s">
        <v>23</v>
      </c>
      <c r="F1" s="12" t="s">
        <v>26</v>
      </c>
      <c r="G1" s="12" t="s">
        <v>27</v>
      </c>
      <c r="H1" s="12" t="s">
        <v>38</v>
      </c>
      <c r="J1" s="12" t="s">
        <v>44</v>
      </c>
      <c r="K1" s="12" t="s">
        <v>49</v>
      </c>
      <c r="L1" s="12" t="s">
        <v>90</v>
      </c>
      <c r="M1" s="12" t="s">
        <v>103</v>
      </c>
    </row>
    <row r="2" spans="1:13">
      <c r="A2" t="s">
        <v>4</v>
      </c>
      <c r="B2" s="10" t="s">
        <v>5</v>
      </c>
      <c r="C2" t="s">
        <v>120</v>
      </c>
      <c r="D2" t="s">
        <v>20</v>
      </c>
      <c r="E2" t="s">
        <v>36</v>
      </c>
      <c r="F2" t="s">
        <v>95</v>
      </c>
      <c r="G2" t="s">
        <v>31</v>
      </c>
      <c r="H2" t="s">
        <v>39</v>
      </c>
      <c r="J2" t="s">
        <v>97</v>
      </c>
      <c r="K2" t="s">
        <v>50</v>
      </c>
      <c r="L2" t="s">
        <v>91</v>
      </c>
      <c r="M2" t="s">
        <v>104</v>
      </c>
    </row>
    <row r="3" spans="1:13">
      <c r="A3" t="s">
        <v>7</v>
      </c>
      <c r="B3" s="7" t="s">
        <v>8</v>
      </c>
      <c r="C3" t="s">
        <v>173</v>
      </c>
      <c r="F3" t="s">
        <v>28</v>
      </c>
      <c r="G3" t="s">
        <v>32</v>
      </c>
      <c r="H3" t="s">
        <v>40</v>
      </c>
      <c r="J3" t="s">
        <v>45</v>
      </c>
      <c r="K3" t="s">
        <v>51</v>
      </c>
      <c r="L3" t="s">
        <v>30</v>
      </c>
      <c r="M3" t="s">
        <v>105</v>
      </c>
    </row>
    <row r="4" spans="1:13">
      <c r="A4" t="s">
        <v>6</v>
      </c>
      <c r="B4" s="8" t="s">
        <v>9</v>
      </c>
      <c r="C4" t="s">
        <v>299</v>
      </c>
      <c r="F4" t="s">
        <v>29</v>
      </c>
      <c r="G4" t="s">
        <v>33</v>
      </c>
      <c r="H4" t="s">
        <v>42</v>
      </c>
      <c r="J4" t="s">
        <v>46</v>
      </c>
      <c r="K4" t="s">
        <v>52</v>
      </c>
      <c r="L4" t="s">
        <v>56</v>
      </c>
    </row>
    <row r="5" spans="1:13">
      <c r="B5" s="8" t="s">
        <v>64</v>
      </c>
      <c r="C5" t="s">
        <v>30</v>
      </c>
      <c r="F5" t="s">
        <v>112</v>
      </c>
      <c r="G5" t="s">
        <v>34</v>
      </c>
      <c r="H5" t="s">
        <v>70</v>
      </c>
      <c r="J5" t="s">
        <v>47</v>
      </c>
      <c r="K5" t="s">
        <v>53</v>
      </c>
      <c r="L5" t="s">
        <v>89</v>
      </c>
    </row>
    <row r="6" spans="1:13">
      <c r="B6" s="9" t="s">
        <v>10</v>
      </c>
      <c r="C6" t="s">
        <v>604</v>
      </c>
      <c r="F6" t="s">
        <v>111</v>
      </c>
      <c r="G6" t="s">
        <v>35</v>
      </c>
      <c r="H6" t="s">
        <v>41</v>
      </c>
      <c r="J6" t="s">
        <v>110</v>
      </c>
      <c r="K6" t="s">
        <v>54</v>
      </c>
      <c r="L6" t="s">
        <v>92</v>
      </c>
    </row>
    <row r="7" spans="1:13">
      <c r="C7" t="s">
        <v>238</v>
      </c>
      <c r="F7" t="s">
        <v>30</v>
      </c>
      <c r="J7" t="s">
        <v>48</v>
      </c>
    </row>
    <row r="8" spans="1:13">
      <c r="C8" t="s">
        <v>788</v>
      </c>
      <c r="F8" t="s">
        <v>43</v>
      </c>
      <c r="J8" t="s">
        <v>55</v>
      </c>
    </row>
    <row r="9" spans="1:13">
      <c r="C9" t="s">
        <v>561</v>
      </c>
      <c r="F9" t="s">
        <v>113</v>
      </c>
      <c r="J9" t="s">
        <v>114</v>
      </c>
    </row>
    <row r="10" spans="1:13">
      <c r="F10" t="s">
        <v>71</v>
      </c>
      <c r="J10" t="s">
        <v>72</v>
      </c>
    </row>
    <row r="11" spans="1:13">
      <c r="F11" t="s">
        <v>86</v>
      </c>
      <c r="J11" t="s">
        <v>75</v>
      </c>
    </row>
    <row r="12" spans="1:13">
      <c r="F12" t="s">
        <v>108</v>
      </c>
      <c r="J12" t="s">
        <v>109</v>
      </c>
    </row>
    <row r="13" spans="1:13">
      <c r="F13" t="s">
        <v>106</v>
      </c>
      <c r="J13" t="s">
        <v>107</v>
      </c>
    </row>
    <row r="14" spans="1:13">
      <c r="F14" t="s">
        <v>115</v>
      </c>
      <c r="J14" t="s">
        <v>116</v>
      </c>
    </row>
    <row r="15" spans="1:13">
      <c r="F15" t="s">
        <v>73</v>
      </c>
      <c r="J15" t="s">
        <v>74</v>
      </c>
    </row>
    <row r="16" spans="1:13">
      <c r="F16" t="s">
        <v>77</v>
      </c>
      <c r="J16" t="s">
        <v>76</v>
      </c>
    </row>
    <row r="17" spans="6:10">
      <c r="F17" t="s">
        <v>78</v>
      </c>
      <c r="J17" t="s">
        <v>79</v>
      </c>
    </row>
    <row r="18" spans="6:10">
      <c r="F18" t="s">
        <v>80</v>
      </c>
      <c r="J18" t="s">
        <v>81</v>
      </c>
    </row>
    <row r="19" spans="6:10">
      <c r="F19" t="s">
        <v>82</v>
      </c>
      <c r="J19" t="s">
        <v>84</v>
      </c>
    </row>
    <row r="20" spans="6:10">
      <c r="F20" t="s">
        <v>83</v>
      </c>
      <c r="J20" t="s">
        <v>85</v>
      </c>
    </row>
    <row r="21" spans="6:10">
      <c r="F21" t="s">
        <v>93</v>
      </c>
      <c r="J21" t="s">
        <v>94</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C794334CC6606F44A93A487BC970477E" ma:contentTypeVersion="16" ma:contentTypeDescription="Create a new document." ma:contentTypeScope="" ma:versionID="5201e3e9de6145474422a5b0d0b1199e">
  <xsd:schema xmlns:xsd="http://www.w3.org/2001/XMLSchema" xmlns:xs="http://www.w3.org/2001/XMLSchema" xmlns:p="http://schemas.microsoft.com/office/2006/metadata/properties" xmlns:ns1="http://schemas.microsoft.com/sharepoint/v3" xmlns:ns2="d681aa6a-578a-4b4a-96ad-20ed8468a31e" xmlns:ns3="be38a625-1701-4e45-b38e-aec531d5a71a" xmlns:ns4="230e9df3-be65-4c73-a93b-d1236ebd677e" targetNamespace="http://schemas.microsoft.com/office/2006/metadata/properties" ma:root="true" ma:fieldsID="35fb9782c1897be4b0e6934fdec9bd44" ns1:_="" ns2:_="" ns3:_="" ns4:_="">
    <xsd:import namespace="http://schemas.microsoft.com/sharepoint/v3"/>
    <xsd:import namespace="d681aa6a-578a-4b4a-96ad-20ed8468a31e"/>
    <xsd:import namespace="be38a625-1701-4e45-b38e-aec531d5a71a"/>
    <xsd:import namespace="230e9df3-be65-4c73-a93b-d1236ebd677e"/>
    <xsd:element name="properties">
      <xsd:complexType>
        <xsd:sequence>
          <xsd:element name="documentManagement">
            <xsd:complexType>
              <xsd:all>
                <xsd:element ref="ns2:MediaServiceMetadata" minOccurs="0"/>
                <xsd:element ref="ns2:MediaServiceFastMetadata" minOccurs="0"/>
                <xsd:element ref="ns2:MediaServiceOCR" minOccurs="0"/>
                <xsd:element ref="ns2:MediaServiceGenerationTime" minOccurs="0"/>
                <xsd:element ref="ns2:MediaServiceEventHashCode" minOccurs="0"/>
                <xsd:element ref="ns2:MediaServiceAutoKeyPoints" minOccurs="0"/>
                <xsd:element ref="ns2:MediaServiceKeyPoints" minOccurs="0"/>
                <xsd:element ref="ns3:SharedWithUsers" minOccurs="0"/>
                <xsd:element ref="ns3:SharedWithDetails" minOccurs="0"/>
                <xsd:element ref="ns2:MediaServiceDateTaken" minOccurs="0"/>
                <xsd:element ref="ns1:_ip_UnifiedCompliancePolicyProperties" minOccurs="0"/>
                <xsd:element ref="ns1:_ip_UnifiedCompliancePolicyUIAction" minOccurs="0"/>
                <xsd:element ref="ns2:lcf76f155ced4ddcb4097134ff3c332f" minOccurs="0"/>
                <xsd:element ref="ns4:TaxCatchAll"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http://schemas.microsoft.com/sharepoint/v3" elementFormDefault="qualified">
    <xsd:import namespace="http://schemas.microsoft.com/office/2006/documentManagement/types"/>
    <xsd:import namespace="http://schemas.microsoft.com/office/infopath/2007/PartnerControls"/>
    <xsd:element name="_ip_UnifiedCompliancePolicyProperties" ma:index="18" nillable="true" ma:displayName="Unified Compliance Policy Properties" ma:hidden="true" ma:internalName="_ip_UnifiedCompliancePolicyProperties">
      <xsd:simpleType>
        <xsd:restriction base="dms:Note"/>
      </xsd:simpleType>
    </xsd:element>
    <xsd:element name="_ip_UnifiedCompliancePolicyUIAction" ma:index="19" nillable="true" ma:displayName="Unified Compliance Policy UI Action" ma:hidden="true" ma:internalName="_ip_UnifiedCompliancePolicyUIAction">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d681aa6a-578a-4b4a-96ad-20ed8468a31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OCR" ma:index="10" nillable="true" ma:displayName="Extracted Text" ma:internalName="MediaServiceOCR" ma:readOnly="true">
      <xsd:simpleType>
        <xsd:restriction base="dms:Note">
          <xsd:maxLength value="255"/>
        </xsd:restriction>
      </xsd:simpleType>
    </xsd:element>
    <xsd:element name="MediaServiceGenerationTime" ma:index="11" nillable="true" ma:displayName="MediaServiceGenerationTime" ma:hidden="true" ma:internalName="MediaServiceGenerationTime" ma:readOnly="true">
      <xsd:simpleType>
        <xsd:restriction base="dms:Text"/>
      </xsd:simpleType>
    </xsd:element>
    <xsd:element name="MediaServiceEventHashCode" ma:index="12" nillable="true" ma:displayName="MediaServiceEventHashCode" ma:hidden="true" ma:internalName="MediaServiceEventHashCode" ma:readOnly="true">
      <xsd:simpleType>
        <xsd:restriction base="dms:Text"/>
      </xsd:simpleType>
    </xsd:element>
    <xsd:element name="MediaServiceAutoKeyPoints" ma:index="13" nillable="true" ma:displayName="MediaServiceAutoKeyPoints" ma:hidden="true" ma:internalName="MediaServiceAutoKeyPoints" ma:readOnly="true">
      <xsd:simpleType>
        <xsd:restriction base="dms:Note"/>
      </xsd:simpleType>
    </xsd:element>
    <xsd:element name="MediaServiceKeyPoints" ma:index="14" nillable="true" ma:displayName="KeyPoints" ma:internalName="MediaServiceKeyPoints" ma:readOnly="true">
      <xsd:simpleType>
        <xsd:restriction base="dms:Note">
          <xsd:maxLength value="255"/>
        </xsd:restriction>
      </xsd:simpleType>
    </xsd:element>
    <xsd:element name="MediaServiceDateTaken" ma:index="17" nillable="true" ma:displayName="MediaServiceDateTaken" ma:hidden="true" ma:internalName="MediaServiceDateTaken" ma:readOnly="true">
      <xsd:simpleType>
        <xsd:restriction base="dms:Text"/>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e385fb40-52d4-4fae-9c5b-3e8ff8a5878e" ma:termSetId="09814cd3-568e-fe90-9814-8d621ff8fb84" ma:anchorId="fba54fb3-c3e1-fe81-a776-ca4b69148c4d" ma:open="true" ma:isKeyword="false">
      <xsd:complexType>
        <xsd:sequence>
          <xsd:element ref="pc:Terms" minOccurs="0" maxOccurs="1"/>
        </xsd:sequence>
      </xsd:complexType>
    </xsd:element>
  </xsd:schema>
  <xsd:schema xmlns:xsd="http://www.w3.org/2001/XMLSchema" xmlns:xs="http://www.w3.org/2001/XMLSchema" xmlns:dms="http://schemas.microsoft.com/office/2006/documentManagement/types" xmlns:pc="http://schemas.microsoft.com/office/infopath/2007/PartnerControls" targetNamespace="be38a625-1701-4e45-b38e-aec531d5a71a" elementFormDefault="qualified">
    <xsd:import namespace="http://schemas.microsoft.com/office/2006/documentManagement/types"/>
    <xsd:import namespace="http://schemas.microsoft.com/office/infopath/2007/PartnerControls"/>
    <xsd:element name="SharedWithUsers" ma:index="15"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6"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230e9df3-be65-4c73-a93b-d1236ebd677e"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148b0ff7-8c1e-4dfb-9593-c6f0e24a20e3}" ma:internalName="TaxCatchAll" ma:showField="CatchAllData" ma:web="be38a625-1701-4e45-b38e-aec531d5a71a">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_ip_UnifiedCompliancePolicyUIAction xmlns="http://schemas.microsoft.com/sharepoint/v3" xsi:nil="true"/>
    <_ip_UnifiedCompliancePolicyProperties xmlns="http://schemas.microsoft.com/sharepoint/v3" xsi:nil="true"/>
    <MediaServiceKeyPoints xmlns="d681aa6a-578a-4b4a-96ad-20ed8468a31e" xsi:nil="true"/>
    <lcf76f155ced4ddcb4097134ff3c332f xmlns="d681aa6a-578a-4b4a-96ad-20ed8468a31e">
      <Terms xmlns="http://schemas.microsoft.com/office/infopath/2007/PartnerControls"/>
    </lcf76f155ced4ddcb4097134ff3c332f>
    <TaxCatchAll xmlns="230e9df3-be65-4c73-a93b-d1236ebd677e"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6C2F1436-C540-47CD-B7EB-573A5E1289BF}">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microsoft.com/sharepoint/v3"/>
    <ds:schemaRef ds:uri="d681aa6a-578a-4b4a-96ad-20ed8468a31e"/>
    <ds:schemaRef ds:uri="be38a625-1701-4e45-b38e-aec531d5a71a"/>
    <ds:schemaRef ds:uri="230e9df3-be65-4c73-a93b-d1236ebd677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5A12DF1A-88E4-48A5-BF96-2ED16263F29E}">
  <ds:schemaRefs>
    <ds:schemaRef ds:uri="http://purl.org/dc/terms/"/>
    <ds:schemaRef ds:uri="http://schemas.microsoft.com/office/infopath/2007/PartnerControls"/>
    <ds:schemaRef ds:uri="http://purl.org/dc/elements/1.1/"/>
    <ds:schemaRef ds:uri="be38a625-1701-4e45-b38e-aec531d5a71a"/>
    <ds:schemaRef ds:uri="http://schemas.microsoft.com/office/2006/documentManagement/types"/>
    <ds:schemaRef ds:uri="230e9df3-be65-4c73-a93b-d1236ebd677e"/>
    <ds:schemaRef ds:uri="http://purl.org/dc/dcmitype/"/>
    <ds:schemaRef ds:uri="http://schemas.microsoft.com/sharepoint/v3"/>
    <ds:schemaRef ds:uri="http://www.w3.org/XML/1998/namespace"/>
    <ds:schemaRef ds:uri="http://schemas.openxmlformats.org/package/2006/metadata/core-properties"/>
    <ds:schemaRef ds:uri="d681aa6a-578a-4b4a-96ad-20ed8468a31e"/>
    <ds:schemaRef ds:uri="http://schemas.microsoft.com/office/2006/metadata/properties"/>
  </ds:schemaRefs>
</ds:datastoreItem>
</file>

<file path=customXml/itemProps3.xml><?xml version="1.0" encoding="utf-8"?>
<ds:datastoreItem xmlns:ds="http://schemas.openxmlformats.org/officeDocument/2006/customXml" ds:itemID="{CDC1CC33-0C6E-430A-9AEA-B4CF30EFF1F9}">
  <ds:schemaRefs>
    <ds:schemaRef ds:uri="http://schemas.microsoft.com/sharepoint/v3/contenttype/forms"/>
  </ds:schemaRefs>
</ds:datastoreItem>
</file>

<file path=docMetadata/LabelInfo.xml><?xml version="1.0" encoding="utf-8"?>
<clbl:labelList xmlns:clbl="http://schemas.microsoft.com/office/2020/mipLabelMetadata">
  <clbl:label id="{f42aa342-8706-4288-bd11-ebb85995028c}" enabled="1" method="Standard" siteId="{72f988bf-86f1-41af-91ab-2d7cd011db47}" removed="0"/>
</clbl:labelLis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3</vt:i4>
      </vt:variant>
    </vt:vector>
  </HeadingPairs>
  <TitlesOfParts>
    <vt:vector size="3" baseType="lpstr">
      <vt:lpstr>Dashboard</vt:lpstr>
      <vt:lpstr>Checklist</vt:lpstr>
      <vt:lpstr>Values</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Jose Moreno</dc:creator>
  <cp:keywords/>
  <dc:description/>
  <cp:lastModifiedBy>AnthonyOnAzure</cp:lastModifiedBy>
  <cp:revision/>
  <dcterms:created xsi:type="dcterms:W3CDTF">2021-01-25T16:35:48Z</dcterms:created>
  <dcterms:modified xsi:type="dcterms:W3CDTF">2023-11-17T19:57:42Z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MSIP_Label_f42aa342-8706-4288-bd11-ebb85995028c_Enabled">
    <vt:lpwstr>true</vt:lpwstr>
  </property>
  <property fmtid="{D5CDD505-2E9C-101B-9397-08002B2CF9AE}" pid="3" name="MSIP_Label_f42aa342-8706-4288-bd11-ebb85995028c_SetDate">
    <vt:lpwstr>2021-07-19T14:35:34Z</vt:lpwstr>
  </property>
  <property fmtid="{D5CDD505-2E9C-101B-9397-08002B2CF9AE}" pid="4" name="MSIP_Label_f42aa342-8706-4288-bd11-ebb85995028c_Method">
    <vt:lpwstr>Standard</vt:lpwstr>
  </property>
  <property fmtid="{D5CDD505-2E9C-101B-9397-08002B2CF9AE}" pid="5" name="MSIP_Label_f42aa342-8706-4288-bd11-ebb85995028c_Name">
    <vt:lpwstr>Internal</vt:lpwstr>
  </property>
  <property fmtid="{D5CDD505-2E9C-101B-9397-08002B2CF9AE}" pid="6" name="MSIP_Label_f42aa342-8706-4288-bd11-ebb85995028c_SiteId">
    <vt:lpwstr>72f988bf-86f1-41af-91ab-2d7cd011db47</vt:lpwstr>
  </property>
  <property fmtid="{D5CDD505-2E9C-101B-9397-08002B2CF9AE}" pid="7" name="MSIP_Label_f42aa342-8706-4288-bd11-ebb85995028c_ActionId">
    <vt:lpwstr>2caa78b6-61a8-4e5d-8b7d-e3081b6a26eb</vt:lpwstr>
  </property>
  <property fmtid="{D5CDD505-2E9C-101B-9397-08002B2CF9AE}" pid="8" name="MSIP_Label_f42aa342-8706-4288-bd11-ebb85995028c_ContentBits">
    <vt:lpwstr>0</vt:lpwstr>
  </property>
  <property fmtid="{D5CDD505-2E9C-101B-9397-08002B2CF9AE}" pid="9" name="ContentTypeId">
    <vt:lpwstr>0x010100C794334CC6606F44A93A487BC970477E</vt:lpwstr>
  </property>
</Properties>
</file>